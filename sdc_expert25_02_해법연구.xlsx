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comments1.xml" ContentType="application/vnd.openxmlformats-officedocument.spreadsheetml.comments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omki\OneDrive\Desktop\SDC2차\"/>
    </mc:Choice>
  </mc:AlternateContent>
  <xr:revisionPtr revIDLastSave="0" documentId="13_ncr:1_{038D745B-075F-4250-A533-DADCF2C6272E}" xr6:coauthVersionLast="47" xr6:coauthVersionMax="47" xr10:uidLastSave="{00000000-0000-0000-0000-000000000000}"/>
  <bookViews>
    <workbookView xWindow="38520" yWindow="2205" windowWidth="28800" windowHeight="13185" tabRatio="704" firstSheet="46" activeTab="54" xr2:uid="{00000000-000D-0000-FFFF-FFFF00000000}"/>
  </bookViews>
  <sheets>
    <sheet name="목차" sheetId="14" r:id="rId1"/>
    <sheet name="01비트연산1" sheetId="1" r:id="rId2"/>
    <sheet name="02진법변환" sheetId="2" r:id="rId3"/>
    <sheet name="03주사위던지기01" sheetId="3" r:id="rId4"/>
    <sheet name="04주사위던지기02" sheetId="4" r:id="rId5"/>
    <sheet name="05맛있는음식" sheetId="5" r:id="rId6"/>
    <sheet name="06벽장문의이동" sheetId="6" r:id="rId7"/>
    <sheet name="07숫자야구2" sheetId="7" r:id="rId8"/>
    <sheet name="08스도쿠" sheetId="8" r:id="rId9"/>
    <sheet name="09비숍" sheetId="9" r:id="rId10"/>
    <sheet name="10구간합1D" sheetId="15" r:id="rId11"/>
    <sheet name="11구간합2D" sheetId="16" r:id="rId12"/>
    <sheet name="12구간업데이트2D" sheetId="17" r:id="rId13"/>
    <sheet name="13용액" sheetId="18" r:id="rId14"/>
    <sheet name="14부분합" sheetId="19" r:id="rId15"/>
    <sheet name="15힙정렬2" sheetId="20" r:id="rId16"/>
    <sheet name="16계수정렬1" sheetId="21" r:id="rId17"/>
    <sheet name="17합병정렬" sheetId="22" r:id="rId18"/>
    <sheet name="18퀵정렬" sheetId="23" r:id="rId19"/>
    <sheet name="19수열복원" sheetId="24" r:id="rId20"/>
    <sheet name="20외양간" sheetId="25" r:id="rId21"/>
    <sheet name="21발전소짓기" sheetId="26" r:id="rId22"/>
    <sheet name="22냉장고" sheetId="27" r:id="rId23"/>
    <sheet name="23저울" sheetId="28" r:id="rId24"/>
    <sheet name="24마인크래프트" sheetId="29" r:id="rId25"/>
    <sheet name="25에너지교환" sheetId="30" r:id="rId26"/>
    <sheet name="26개미" sheetId="31" r:id="rId27"/>
    <sheet name="27점모으기" sheetId="32" r:id="rId28"/>
    <sheet name="28직사각형" sheetId="33" r:id="rId29"/>
    <sheet name="29도형회전1" sheetId="34" r:id="rId30"/>
    <sheet name="30EX안테나배정" sheetId="35" r:id="rId31"/>
    <sheet name="31EX물품배송" sheetId="36" r:id="rId32"/>
    <sheet name="32보물섬" sheetId="37" r:id="rId33"/>
    <sheet name="33경로찾기" sheetId="38" r:id="rId34"/>
    <sheet name="34로봇" sheetId="39" r:id="rId35"/>
    <sheet name="35그리드게임" sheetId="40" r:id="rId36"/>
    <sheet name="36지하철" sheetId="41" r:id="rId37"/>
    <sheet name="37최단경로2" sheetId="42" r:id="rId38"/>
    <sheet name="38꿀꿀이축제" sheetId="43" r:id="rId39"/>
    <sheet name="39모이기" sheetId="44" r:id="rId40"/>
    <sheet name="40종교" sheetId="45" r:id="rId41"/>
    <sheet name="41직사각형그룹" sheetId="46" r:id="rId42"/>
    <sheet name="42오리무전기" sheetId="47" r:id="rId43"/>
    <sheet name="43트리(중등)" sheetId="48" r:id="rId44"/>
    <sheet name="44비용" sheetId="49" r:id="rId45"/>
    <sheet name="45TS경유지운송" sheetId="50" r:id="rId46"/>
    <sheet name="46EXGerm" sheetId="51" r:id="rId47"/>
    <sheet name="47_EX우주선착륙" sheetId="52" r:id="rId48"/>
    <sheet name="48_EX노후화된도로" sheetId="53" r:id="rId49"/>
    <sheet name="60EXSquare" sheetId="54" r:id="rId50"/>
    <sheet name="61FastSort" sheetId="58" r:id="rId51"/>
    <sheet name="62EXTaxiAssignment" sheetId="55" r:id="rId52"/>
    <sheet name="63ProteinFold" sheetId="59" r:id="rId53"/>
    <sheet name="64EX화물기차" sheetId="57" r:id="rId54"/>
    <sheet name="65EX하르방" sheetId="56" r:id="rId5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40" i="54" l="1"/>
  <c r="AE40" i="54"/>
  <c r="AD40" i="54"/>
  <c r="AC40" i="54"/>
  <c r="AB40" i="54"/>
  <c r="AA40" i="54"/>
  <c r="Z40" i="54"/>
  <c r="Y40" i="54"/>
  <c r="X40" i="54"/>
  <c r="W40" i="54"/>
  <c r="V40" i="54"/>
  <c r="AF39" i="54"/>
  <c r="AE39" i="54"/>
  <c r="AD39" i="54"/>
  <c r="AC39" i="54"/>
  <c r="AB39" i="54"/>
  <c r="AA39" i="54"/>
  <c r="Z39" i="54"/>
  <c r="Y39" i="54"/>
  <c r="X39" i="54"/>
  <c r="W39" i="54"/>
  <c r="V39" i="54"/>
  <c r="AF38" i="54"/>
  <c r="AE38" i="54"/>
  <c r="AD38" i="54"/>
  <c r="AC38" i="54"/>
  <c r="AB38" i="54"/>
  <c r="AA38" i="54"/>
  <c r="Z38" i="54"/>
  <c r="Y38" i="54"/>
  <c r="X38" i="54"/>
  <c r="W38" i="54"/>
  <c r="V38" i="54"/>
  <c r="AF37" i="54"/>
  <c r="AE37" i="54"/>
  <c r="AD37" i="54"/>
  <c r="AC37" i="54"/>
  <c r="AB37" i="54"/>
  <c r="AA37" i="54"/>
  <c r="Z37" i="54"/>
  <c r="Y37" i="54"/>
  <c r="X37" i="54"/>
  <c r="W37" i="54"/>
  <c r="V37" i="54"/>
  <c r="AF36" i="54"/>
  <c r="AE36" i="54"/>
  <c r="AD36" i="54"/>
  <c r="AC36" i="54"/>
  <c r="AB36" i="54"/>
  <c r="AA36" i="54"/>
  <c r="Z36" i="54"/>
  <c r="Y36" i="54"/>
  <c r="X36" i="54"/>
  <c r="W36" i="54"/>
  <c r="V36" i="54"/>
  <c r="AF35" i="54"/>
  <c r="AE35" i="54"/>
  <c r="AD35" i="54"/>
  <c r="AC35" i="54"/>
  <c r="AB35" i="54"/>
  <c r="AA35" i="54"/>
  <c r="Z35" i="54"/>
  <c r="Y35" i="54"/>
  <c r="X35" i="54"/>
  <c r="W35" i="54"/>
  <c r="V35" i="54"/>
  <c r="AF34" i="54"/>
  <c r="AE34" i="54"/>
  <c r="AD34" i="54"/>
  <c r="AC34" i="54"/>
  <c r="AB34" i="54"/>
  <c r="AA34" i="54"/>
  <c r="Z34" i="54"/>
  <c r="Y34" i="54"/>
  <c r="X34" i="54"/>
  <c r="W34" i="54"/>
  <c r="V34" i="54"/>
  <c r="AF33" i="54"/>
  <c r="AE33" i="54"/>
  <c r="AD33" i="54"/>
  <c r="AC33" i="54"/>
  <c r="AB33" i="54"/>
  <c r="AA33" i="54"/>
  <c r="Z33" i="54"/>
  <c r="Y33" i="54"/>
  <c r="X33" i="54"/>
  <c r="W33" i="54"/>
  <c r="V33" i="54"/>
  <c r="AF32" i="54"/>
  <c r="AE32" i="54"/>
  <c r="AD32" i="54"/>
  <c r="AC32" i="54"/>
  <c r="AB32" i="54"/>
  <c r="AA32" i="54"/>
  <c r="Z32" i="54"/>
  <c r="Y32" i="54"/>
  <c r="X32" i="54"/>
  <c r="W32" i="54"/>
  <c r="V32" i="54"/>
  <c r="AF31" i="54"/>
  <c r="AE31" i="54"/>
  <c r="AD31" i="54"/>
  <c r="AC31" i="54"/>
  <c r="AB31" i="54"/>
  <c r="AA31" i="54"/>
  <c r="Z31" i="54"/>
  <c r="Y31" i="54"/>
  <c r="X31" i="54"/>
  <c r="W31" i="54"/>
  <c r="V31" i="54"/>
  <c r="AF30" i="54"/>
  <c r="AE30" i="54"/>
  <c r="AD30" i="54"/>
  <c r="AC30" i="54"/>
  <c r="AB30" i="54"/>
  <c r="AA30" i="54"/>
  <c r="Z30" i="54"/>
  <c r="Y30" i="54"/>
  <c r="X30" i="54"/>
  <c r="W30" i="54"/>
  <c r="V30" i="54"/>
  <c r="P10" i="49" l="1"/>
  <c r="H27" i="49"/>
  <c r="D27" i="49"/>
  <c r="X46" i="47"/>
  <c r="X45" i="47"/>
  <c r="X44" i="47"/>
  <c r="X43" i="47"/>
  <c r="X42" i="47"/>
  <c r="X41" i="47"/>
  <c r="X37" i="47"/>
  <c r="X36" i="47"/>
  <c r="X35" i="47"/>
  <c r="X34" i="47"/>
  <c r="X33" i="47"/>
  <c r="X32" i="47"/>
  <c r="X28" i="47"/>
  <c r="X27" i="47"/>
  <c r="X26" i="47"/>
  <c r="X25" i="47"/>
  <c r="X24" i="47"/>
  <c r="X23" i="47"/>
  <c r="X19" i="47"/>
  <c r="X18" i="47"/>
  <c r="X17" i="47"/>
  <c r="X16" i="47"/>
  <c r="X15" i="47"/>
  <c r="X14" i="47"/>
  <c r="X10" i="47"/>
  <c r="S10" i="47"/>
  <c r="X9" i="47"/>
  <c r="S9" i="47"/>
  <c r="X8" i="47"/>
  <c r="S8" i="47"/>
  <c r="X7" i="47"/>
  <c r="S7" i="47"/>
  <c r="X6" i="47"/>
  <c r="S6" i="47"/>
  <c r="X5" i="47"/>
  <c r="S5" i="47"/>
  <c r="N41" i="30"/>
  <c r="N21" i="30"/>
  <c r="D49" i="32"/>
  <c r="E49" i="32" s="1"/>
  <c r="F49" i="32" s="1"/>
  <c r="C36" i="32"/>
  <c r="F36" i="32" s="1"/>
  <c r="J35" i="32"/>
  <c r="I35" i="32"/>
  <c r="H35" i="32"/>
  <c r="G35" i="32"/>
  <c r="F35" i="32"/>
  <c r="E35" i="32"/>
  <c r="D35" i="32"/>
  <c r="L35" i="32" s="1"/>
  <c r="J34" i="32"/>
  <c r="I34" i="32"/>
  <c r="H34" i="32"/>
  <c r="G34" i="32"/>
  <c r="F34" i="32"/>
  <c r="E34" i="32"/>
  <c r="D34" i="32"/>
  <c r="L34" i="32" s="1"/>
  <c r="H36" i="32" l="1"/>
  <c r="G36" i="32"/>
  <c r="I36" i="32"/>
  <c r="J36" i="32"/>
  <c r="D36" i="32"/>
  <c r="E36" i="32"/>
  <c r="L36" i="32" l="1"/>
  <c r="J62" i="29"/>
  <c r="K62" i="29" s="1"/>
  <c r="L62" i="29" s="1"/>
  <c r="M62" i="29" s="1"/>
  <c r="I62" i="29"/>
  <c r="H62" i="29"/>
  <c r="G62" i="29"/>
  <c r="F62" i="29"/>
  <c r="J61" i="29"/>
  <c r="K61" i="29" s="1"/>
  <c r="L61" i="29" s="1"/>
  <c r="M61" i="29" s="1"/>
  <c r="I61" i="29"/>
  <c r="H61" i="29"/>
  <c r="G61" i="29"/>
  <c r="F61" i="29"/>
  <c r="E24" i="17"/>
  <c r="F24" i="17" s="1"/>
  <c r="G24" i="17" s="1"/>
  <c r="H24" i="17" s="1"/>
  <c r="I24" i="17" s="1"/>
  <c r="J24" i="17" s="1"/>
  <c r="K24" i="17" s="1"/>
  <c r="L24" i="17" s="1"/>
  <c r="M24" i="17" s="1"/>
  <c r="N24" i="17" s="1"/>
  <c r="O24" i="17" s="1"/>
  <c r="P24" i="17" s="1"/>
  <c r="Q24" i="17" s="1"/>
  <c r="R24" i="17" s="1"/>
  <c r="S24" i="17" s="1"/>
  <c r="T24" i="17" s="1"/>
  <c r="U24" i="17" s="1"/>
  <c r="V24" i="17" s="1"/>
  <c r="W24" i="17" s="1"/>
  <c r="X24" i="17" s="1"/>
  <c r="M16" i="9" l="1"/>
  <c r="N16" i="9"/>
  <c r="O16" i="9"/>
  <c r="P16" i="9"/>
  <c r="Q16" i="9"/>
  <c r="M17" i="9"/>
  <c r="N17" i="9"/>
  <c r="O17" i="9"/>
  <c r="P17" i="9"/>
  <c r="Q17" i="9"/>
  <c r="M18" i="9"/>
  <c r="N18" i="9"/>
  <c r="O18" i="9"/>
  <c r="P18" i="9"/>
  <c r="Q18" i="9"/>
  <c r="M19" i="9"/>
  <c r="N19" i="9"/>
  <c r="O19" i="9"/>
  <c r="P19" i="9"/>
  <c r="Q19" i="9"/>
  <c r="N15" i="9"/>
  <c r="O15" i="9"/>
  <c r="P15" i="9"/>
  <c r="Q15" i="9"/>
  <c r="M15" i="9"/>
  <c r="M6" i="9"/>
  <c r="N6" i="9"/>
  <c r="O6" i="9"/>
  <c r="P6" i="9"/>
  <c r="Q6" i="9"/>
  <c r="M7" i="9"/>
  <c r="N7" i="9"/>
  <c r="O7" i="9"/>
  <c r="P7" i="9"/>
  <c r="Q7" i="9"/>
  <c r="M8" i="9"/>
  <c r="N8" i="9"/>
  <c r="O8" i="9"/>
  <c r="P8" i="9"/>
  <c r="Q8" i="9"/>
  <c r="M9" i="9"/>
  <c r="N9" i="9"/>
  <c r="O9" i="9"/>
  <c r="P9" i="9"/>
  <c r="Q9" i="9"/>
  <c r="N5" i="9"/>
  <c r="O5" i="9"/>
  <c r="P5" i="9"/>
  <c r="Q5" i="9"/>
  <c r="M5" i="9"/>
  <c r="D22" i="15"/>
  <c r="E22" i="15" s="1"/>
  <c r="F22" i="15" s="1"/>
  <c r="G22" i="15" s="1"/>
  <c r="H22" i="15" s="1"/>
  <c r="I22" i="15" s="1"/>
  <c r="J22" i="15" s="1"/>
  <c r="K22" i="15" s="1"/>
  <c r="L22" i="15" s="1"/>
  <c r="M22" i="15" s="1"/>
  <c r="AC40" i="16"/>
  <c r="AC39" i="16"/>
  <c r="L34" i="16"/>
  <c r="M34" i="16" s="1"/>
  <c r="N34" i="16" s="1"/>
  <c r="O34" i="16" s="1"/>
  <c r="P34" i="16" s="1"/>
  <c r="H22" i="16"/>
  <c r="H23" i="16" s="1"/>
  <c r="H24" i="16" s="1"/>
  <c r="H25" i="16" s="1"/>
  <c r="H26" i="16" s="1"/>
  <c r="G22" i="16"/>
  <c r="G23" i="16" s="1"/>
  <c r="G24" i="16" s="1"/>
  <c r="G25" i="16" s="1"/>
  <c r="G26" i="16" s="1"/>
  <c r="F22" i="16"/>
  <c r="F23" i="16" s="1"/>
  <c r="F24" i="16" s="1"/>
  <c r="F25" i="16" s="1"/>
  <c r="F26" i="16" s="1"/>
  <c r="E22" i="16"/>
  <c r="E23" i="16" s="1"/>
  <c r="E24" i="16" s="1"/>
  <c r="E25" i="16" s="1"/>
  <c r="E26" i="16" s="1"/>
  <c r="D22" i="16"/>
  <c r="D23" i="16" s="1"/>
  <c r="O61" i="17"/>
  <c r="P61" i="17" s="1"/>
  <c r="Q61" i="17" s="1"/>
  <c r="R61" i="17" s="1"/>
  <c r="S61" i="17" s="1"/>
  <c r="T61" i="17" s="1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P54" i="18"/>
  <c r="P34" i="18"/>
  <c r="N19" i="8"/>
  <c r="O19" i="8"/>
  <c r="P19" i="8"/>
  <c r="Q19" i="8"/>
  <c r="R19" i="8"/>
  <c r="S19" i="8"/>
  <c r="T19" i="8"/>
  <c r="U19" i="8"/>
  <c r="V19" i="8"/>
  <c r="N20" i="8"/>
  <c r="O20" i="8"/>
  <c r="P20" i="8"/>
  <c r="Q20" i="8"/>
  <c r="R20" i="8"/>
  <c r="S20" i="8"/>
  <c r="T20" i="8"/>
  <c r="U20" i="8"/>
  <c r="V20" i="8"/>
  <c r="N21" i="8"/>
  <c r="O21" i="8"/>
  <c r="P21" i="8"/>
  <c r="Q21" i="8"/>
  <c r="R21" i="8"/>
  <c r="S21" i="8"/>
  <c r="T21" i="8"/>
  <c r="U21" i="8"/>
  <c r="V21" i="8"/>
  <c r="N22" i="8"/>
  <c r="O22" i="8"/>
  <c r="P22" i="8"/>
  <c r="Q22" i="8"/>
  <c r="R22" i="8"/>
  <c r="S22" i="8"/>
  <c r="T22" i="8"/>
  <c r="U22" i="8"/>
  <c r="V22" i="8"/>
  <c r="N23" i="8"/>
  <c r="O23" i="8"/>
  <c r="P23" i="8"/>
  <c r="Q23" i="8"/>
  <c r="R23" i="8"/>
  <c r="S23" i="8"/>
  <c r="T23" i="8"/>
  <c r="U23" i="8"/>
  <c r="V23" i="8"/>
  <c r="N24" i="8"/>
  <c r="O24" i="8"/>
  <c r="P24" i="8"/>
  <c r="Q24" i="8"/>
  <c r="R24" i="8"/>
  <c r="S24" i="8"/>
  <c r="T24" i="8"/>
  <c r="U24" i="8"/>
  <c r="V24" i="8"/>
  <c r="N25" i="8"/>
  <c r="O25" i="8"/>
  <c r="P25" i="8"/>
  <c r="Q25" i="8"/>
  <c r="R25" i="8"/>
  <c r="S25" i="8"/>
  <c r="T25" i="8"/>
  <c r="U25" i="8"/>
  <c r="V25" i="8"/>
  <c r="N26" i="8"/>
  <c r="O26" i="8"/>
  <c r="P26" i="8"/>
  <c r="Q26" i="8"/>
  <c r="R26" i="8"/>
  <c r="S26" i="8"/>
  <c r="T26" i="8"/>
  <c r="U26" i="8"/>
  <c r="V26" i="8"/>
  <c r="O18" i="8"/>
  <c r="P18" i="8"/>
  <c r="Q18" i="8"/>
  <c r="R18" i="8"/>
  <c r="S18" i="8"/>
  <c r="T18" i="8"/>
  <c r="U18" i="8"/>
  <c r="V18" i="8"/>
  <c r="N18" i="8"/>
  <c r="K23" i="16" l="1"/>
  <c r="L23" i="16" s="1"/>
  <c r="M23" i="16" s="1"/>
  <c r="N23" i="16" s="1"/>
  <c r="O23" i="16" s="1"/>
  <c r="D24" i="16"/>
  <c r="K24" i="16" s="1"/>
  <c r="L24" i="16" s="1"/>
  <c r="M24" i="16" s="1"/>
  <c r="N24" i="16" s="1"/>
  <c r="O24" i="16" s="1"/>
  <c r="K22" i="16"/>
  <c r="L22" i="16" s="1"/>
  <c r="M22" i="16" s="1"/>
  <c r="N22" i="16" s="1"/>
  <c r="O22" i="16" s="1"/>
  <c r="L35" i="16"/>
  <c r="O62" i="17"/>
  <c r="D25" i="16" l="1"/>
  <c r="K25" i="16" s="1"/>
  <c r="L25" i="16" s="1"/>
  <c r="M25" i="16" s="1"/>
  <c r="N25" i="16" s="1"/>
  <c r="O25" i="16" s="1"/>
  <c r="L36" i="16"/>
  <c r="M35" i="16"/>
  <c r="N35" i="16" s="1"/>
  <c r="O35" i="16" s="1"/>
  <c r="P35" i="16" s="1"/>
  <c r="P62" i="17"/>
  <c r="Q62" i="17" s="1"/>
  <c r="R62" i="17" s="1"/>
  <c r="S62" i="17" s="1"/>
  <c r="T62" i="17" s="1"/>
  <c r="O63" i="17"/>
  <c r="D26" i="16" l="1"/>
  <c r="K26" i="16" s="1"/>
  <c r="L26" i="16" s="1"/>
  <c r="M26" i="16" s="1"/>
  <c r="N26" i="16" s="1"/>
  <c r="O26" i="16" s="1"/>
  <c r="L37" i="16"/>
  <c r="M36" i="16"/>
  <c r="N36" i="16" s="1"/>
  <c r="O36" i="16" s="1"/>
  <c r="P36" i="16" s="1"/>
  <c r="O64" i="17"/>
  <c r="P63" i="17"/>
  <c r="Q63" i="17" s="1"/>
  <c r="R63" i="17" s="1"/>
  <c r="S63" i="17" s="1"/>
  <c r="T63" i="17" s="1"/>
  <c r="M37" i="16" l="1"/>
  <c r="N37" i="16" s="1"/>
  <c r="O37" i="16" s="1"/>
  <c r="P37" i="16" s="1"/>
  <c r="L38" i="16"/>
  <c r="M38" i="16" s="1"/>
  <c r="N38" i="16" s="1"/>
  <c r="O38" i="16" s="1"/>
  <c r="P38" i="16" s="1"/>
  <c r="P64" i="17"/>
  <c r="Q64" i="17" s="1"/>
  <c r="R64" i="17" s="1"/>
  <c r="S64" i="17" s="1"/>
  <c r="T64" i="17" s="1"/>
  <c r="O65" i="17"/>
  <c r="P65" i="17" l="1"/>
  <c r="Q65" i="17" s="1"/>
  <c r="R65" i="17" s="1"/>
  <c r="S65" i="17" s="1"/>
  <c r="T65" i="17" s="1"/>
  <c r="O66" i="17"/>
  <c r="P66" i="17" s="1"/>
  <c r="Q66" i="17" l="1"/>
  <c r="R66" i="17" s="1"/>
  <c r="S66" i="17" s="1"/>
  <c r="T66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H28" authorId="0" shapeId="0" xr:uid="{689E6083-8879-451B-A1DE-6622AC498D6B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
</t>
        </r>
      </text>
    </comment>
    <comment ref="K28" authorId="0" shapeId="0" xr:uid="{397C6E56-551F-49DF-B15F-8672BC309A2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10</t>
        </r>
      </text>
    </comment>
    <comment ref="E33" authorId="0" shapeId="0" xr:uid="{B704716C-4FC4-403C-A0D3-23AD66839B65}">
      <text>
        <r>
          <rPr>
            <b/>
            <sz val="9"/>
            <color indexed="81"/>
            <rFont val="돋움체"/>
            <family val="3"/>
            <charset val="129"/>
          </rPr>
          <t>만든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체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12</t>
        </r>
      </text>
    </comment>
    <comment ref="L33" authorId="0" shapeId="0" xr:uid="{05B8E54E-9735-4EA8-8A94-7FFE01C5D20C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5</t>
        </r>
      </text>
    </comment>
    <comment ref="M33" authorId="0" shapeId="0" xr:uid="{D80307C2-090A-45C4-9ED9-23E51A36C74C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24</t>
        </r>
      </text>
    </comment>
    <comment ref="L34" authorId="0" shapeId="0" xr:uid="{967348A4-4F79-4447-904E-B9BD0F9854D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4</t>
        </r>
      </text>
    </comment>
    <comment ref="H38" authorId="0" shapeId="0" xr:uid="{0BF825DB-3118-4C91-BE39-78612F580FBE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6</t>
        </r>
      </text>
    </comment>
    <comment ref="I38" authorId="0" shapeId="0" xr:uid="{39AF3CB8-F1D1-443C-85FF-BBB8C7B9312B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5</t>
        </r>
      </text>
    </comment>
    <comment ref="M38" authorId="0" shapeId="0" xr:uid="{E504B385-85FA-41D1-9B9E-6DFAE07CD512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13</t>
        </r>
      </text>
    </comment>
    <comment ref="I39" authorId="0" shapeId="0" xr:uid="{7A466BC8-0A51-4912-A15C-32D2C6C6ACB6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4</t>
        </r>
      </text>
    </comment>
    <comment ref="H43" authorId="0" shapeId="0" xr:uid="{6FA0E018-1776-410C-921A-2704D2D0C089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5</t>
        </r>
      </text>
    </comment>
    <comment ref="I43" authorId="0" shapeId="0" xr:uid="{5980BCF7-92D9-49F2-9CAF-44BB69F7AABC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4</t>
        </r>
      </text>
    </comment>
    <comment ref="M43" authorId="0" shapeId="0" xr:uid="{4695FF9B-DAE2-4FDF-8F5C-5AD55221C9F3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12</t>
        </r>
      </text>
    </comment>
    <comment ref="I44" authorId="0" shapeId="0" xr:uid="{DB1141B2-B556-467F-9B8D-1A866E3AF996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3</t>
        </r>
      </text>
    </comment>
    <comment ref="H48" authorId="0" shapeId="0" xr:uid="{DD72061B-5BFB-48BA-9DAA-14E7A2E229D4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3</t>
        </r>
      </text>
    </comment>
    <comment ref="L49" authorId="0" shapeId="0" xr:uid="{CCA907B9-5852-48FA-90FB-D353508DDB6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10</t>
        </r>
      </text>
    </comment>
    <comment ref="I53" authorId="0" shapeId="0" xr:uid="{BAF4186E-3961-48E8-89FE-7F4AB84B0254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6</t>
        </r>
      </text>
    </comment>
    <comment ref="J53" authorId="0" shapeId="0" xr:uid="{93BD7EE8-87EB-41C7-949E-036093A5537F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5</t>
        </r>
      </text>
    </comment>
    <comment ref="K53" authorId="0" shapeId="0" xr:uid="{EA39B54B-11F4-40B8-8D8F-3AC8CF6A54F4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L53" authorId="0" shapeId="0" xr:uid="{441BE147-04AE-4BF6-9319-5D14791919E6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</t>
        </r>
      </text>
    </comment>
    <comment ref="M53" authorId="0" shapeId="0" xr:uid="{387605A3-A087-4AD0-B926-94733C1CA061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18</t>
        </r>
      </text>
    </comment>
    <comment ref="N53" authorId="0" shapeId="0" xr:uid="{0AE80DBE-D312-4A17-B889-92A4B039AF22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17</t>
        </r>
      </text>
    </comment>
    <comment ref="H54" authorId="0" shapeId="0" xr:uid="{9363332B-5C07-460D-A40D-C1B3F916FD2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8</t>
        </r>
      </text>
    </comment>
    <comment ref="I54" authorId="0" shapeId="0" xr:uid="{AD1725D5-6EFC-409C-9F74-01C2979565F2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7</t>
        </r>
      </text>
    </comment>
    <comment ref="J54" authorId="0" shapeId="0" xr:uid="{1FFF241A-327C-404B-A930-EE4A733F9A6B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4</t>
        </r>
      </text>
    </comment>
    <comment ref="K54" authorId="0" shapeId="0" xr:uid="{B9FB3632-B326-4DCE-AF76-A7616465EC0E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3</t>
        </r>
      </text>
    </comment>
    <comment ref="G58" authorId="0" shapeId="0" xr:uid="{CF044D12-59D4-4DAA-B59E-C80992F25A51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7</t>
        </r>
      </text>
    </comment>
    <comment ref="I58" authorId="0" shapeId="0" xr:uid="{93EEC62C-D91D-4D8D-84F7-A54FF10BBE16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5</t>
        </r>
      </text>
    </comment>
    <comment ref="M58" authorId="0" shapeId="0" xr:uid="{01FC2D71-9827-4210-BE31-B0DC9EB0D4FC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15</t>
        </r>
      </text>
    </comment>
    <comment ref="I59" authorId="0" shapeId="0" xr:uid="{9E1B877C-5079-4054-A87E-0AF5E5283B7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4</t>
        </r>
      </text>
    </comment>
    <comment ref="I63" authorId="0" shapeId="0" xr:uid="{1508BDF2-0486-4475-93EF-26C8E25CD132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L64" authorId="0" shapeId="0" xr:uid="{3B2972DB-A748-4B82-96CD-48794007AC0B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8</t>
        </r>
      </text>
    </comment>
    <comment ref="G68" authorId="0" shapeId="0" xr:uid="{4EB60DD4-C56A-4C7B-961D-FB979CA8811C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8</t>
        </r>
      </text>
    </comment>
    <comment ref="H68" authorId="0" shapeId="0" xr:uid="{AC2CF0E7-EF16-4E0B-8330-6962BD4591A4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7</t>
        </r>
      </text>
    </comment>
    <comment ref="I68" authorId="0" shapeId="0" xr:uid="{ABBFD358-B674-41E9-A2CB-C0B2A050D88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4</t>
        </r>
      </text>
    </comment>
    <comment ref="J68" authorId="0" shapeId="0" xr:uid="{9FD5A64E-A369-4FD3-8269-8DB261360875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3</t>
        </r>
      </text>
    </comment>
    <comment ref="L68" authorId="0" shapeId="0" xr:uid="{768FF4D9-71FC-4CC5-A78D-CDC3D8F0A6F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17</t>
        </r>
      </text>
    </comment>
    <comment ref="M68" authorId="0" shapeId="0" xr:uid="{0668FEBC-AC52-4BFA-8371-474F890BC60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16</t>
        </r>
      </text>
    </comment>
    <comment ref="H69" authorId="0" shapeId="0" xr:uid="{893F3D54-3210-4064-B2D9-EDC415A858F3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6</t>
        </r>
      </text>
    </comment>
    <comment ref="I69" authorId="0" shapeId="0" xr:uid="{A11D1D2F-8FDE-4B17-BDF8-01D78E0A19BB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5</t>
        </r>
      </text>
    </comment>
    <comment ref="J69" authorId="0" shapeId="0" xr:uid="{6CADFFBA-6834-47B5-9E0C-98E90862E422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K69" authorId="0" shapeId="0" xr:uid="{32C50200-BA49-4840-8FCA-45145085EEA6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</t>
        </r>
      </text>
    </comment>
    <comment ref="L69" authorId="0" shapeId="0" xr:uid="{CC4A1985-409B-4677-BC8A-F07DBD6CC87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18</t>
        </r>
      </text>
    </comment>
    <comment ref="F73" authorId="0" shapeId="0" xr:uid="{C56E7243-D5FC-44DD-98FC-75861863DC72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9</t>
        </r>
      </text>
    </comment>
    <comment ref="G73" authorId="0" shapeId="0" xr:uid="{547E989F-7D44-4C42-A0DE-802254E80D07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8</t>
        </r>
      </text>
    </comment>
    <comment ref="H73" authorId="0" shapeId="0" xr:uid="{FE7D2ED1-E205-4A13-8D0F-052F297F8D1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5</t>
        </r>
      </text>
    </comment>
    <comment ref="I73" authorId="0" shapeId="0" xr:uid="{F22E9D6A-C56B-4729-8753-155ED756537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4</t>
        </r>
      </text>
    </comment>
    <comment ref="M73" authorId="0" shapeId="0" xr:uid="{A71CBFFD-338C-4003-9F31-8556B3B644D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18</t>
        </r>
      </text>
    </comment>
    <comment ref="G74" authorId="0" shapeId="0" xr:uid="{18D70D36-C8F0-4428-9349-FE7D41FCDA15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7</t>
        </r>
      </text>
    </comment>
    <comment ref="H74" authorId="0" shapeId="0" xr:uid="{2596CB73-04E6-4375-93DE-D4D5C608BF7F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6</t>
        </r>
      </text>
    </comment>
    <comment ref="I74" authorId="0" shapeId="0" xr:uid="{61AC8E7A-73BC-440E-9F34-6DA06207F249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3</t>
        </r>
      </text>
    </comment>
    <comment ref="G78" authorId="0" shapeId="0" xr:uid="{089893DF-E65B-42BC-A0A4-B2447EBC6A2F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6</t>
        </r>
      </text>
    </comment>
    <comment ref="H78" authorId="0" shapeId="0" xr:uid="{290ADAE6-A6CE-4624-B273-141D50F304BD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5</t>
        </r>
      </text>
    </comment>
    <comment ref="J78" authorId="0" shapeId="0" xr:uid="{13724649-BB36-447F-BF14-3B2CDC730804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</t>
        </r>
      </text>
    </comment>
    <comment ref="K78" authorId="0" shapeId="0" xr:uid="{369C7BE1-28C9-41AD-8E56-429B76D56C1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10</t>
        </r>
      </text>
    </comment>
    <comment ref="M78" authorId="0" shapeId="0" xr:uid="{78E1AFB2-F2CC-4295-9239-F85C18460DD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8</t>
        </r>
      </text>
    </comment>
    <comment ref="F79" authorId="0" shapeId="0" xr:uid="{26F62C8E-40DA-4132-9A07-5F1CDFB6E82E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8</t>
        </r>
      </text>
    </comment>
    <comment ref="G79" authorId="0" shapeId="0" xr:uid="{C07B9B1E-6CAB-483E-870B-A1571AFA29FC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7</t>
        </r>
      </text>
    </comment>
    <comment ref="H79" authorId="0" shapeId="0" xr:uid="{E895AC03-E06B-4719-9613-CF149BB4A26E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4</t>
        </r>
      </text>
    </comment>
    <comment ref="J79" authorId="0" shapeId="0" xr:uid="{CBCD5B7B-CD7E-47DC-BB73-9D33574CA93D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F84" authorId="0" shapeId="0" xr:uid="{6B245E1E-03CA-42EA-8B12-9E104C8D18B7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11</t>
        </r>
      </text>
    </comment>
    <comment ref="G84" authorId="0" shapeId="0" xr:uid="{77B49810-6E64-4FAC-A11C-D0DF499A62F7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10</t>
        </r>
      </text>
    </comment>
    <comment ref="H84" authorId="0" shapeId="0" xr:uid="{04D68CCA-CEBF-44A4-878C-DCEEBB0EAAC2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7</t>
        </r>
      </text>
    </comment>
    <comment ref="I84" authorId="0" shapeId="0" xr:uid="{CBD76813-6222-4916-9F1F-E6B53A9E7ABF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6</t>
        </r>
      </text>
    </comment>
    <comment ref="J84" authorId="0" shapeId="0" xr:uid="{A77425C9-E710-4D86-AD07-2BCEF3044D59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3</t>
        </r>
      </text>
    </comment>
    <comment ref="K84" authorId="0" shapeId="0" xr:uid="{AF2F9031-2BEA-454F-A228-6E796874BD2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L84" authorId="0" shapeId="0" xr:uid="{D3CE8E94-2632-4088-B5FF-F5C72EA999E6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21</t>
        </r>
      </text>
    </comment>
    <comment ref="M84" authorId="0" shapeId="0" xr:uid="{97E23A4D-328E-4AD2-8F5C-0A72B292A48D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20</t>
        </r>
      </text>
    </comment>
    <comment ref="G85" authorId="0" shapeId="0" xr:uid="{798DBC2C-CE74-40B2-B070-3D04A01F07D2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9</t>
        </r>
      </text>
    </comment>
    <comment ref="H85" authorId="0" shapeId="0" xr:uid="{1025B3C5-43EF-4779-8062-6EF4BE4BD912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8</t>
        </r>
      </text>
    </comment>
    <comment ref="I85" authorId="0" shapeId="0" xr:uid="{8934FF9A-358E-47F2-88EC-382A812DB1E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5</t>
        </r>
      </text>
    </comment>
    <comment ref="J85" authorId="0" shapeId="0" xr:uid="{32C142C1-9741-4189-9875-396B99652FE4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4</t>
        </r>
      </text>
    </comment>
    <comment ref="L85" authorId="0" shapeId="0" xr:uid="{2A33F343-36A1-4F15-A197-054B93363323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22</t>
        </r>
      </text>
    </comment>
    <comment ref="G90" authorId="0" shapeId="0" xr:uid="{81EE4E17-BD1E-404F-BD2F-F4891A253A6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8</t>
        </r>
      </text>
    </comment>
    <comment ref="K90" authorId="0" shapeId="0" xr:uid="{2475CD47-741F-4DE4-AA24-14C62802F81C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4</t>
        </r>
      </text>
    </comment>
    <comment ref="L90" authorId="0" shapeId="0" xr:uid="{1EC0A7A4-0EE9-4BB5-A460-B44C2123743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17</t>
        </r>
      </text>
    </comment>
    <comment ref="M90" authorId="0" shapeId="0" xr:uid="{2B6C0A68-229C-4CFC-B435-3D24E11A603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16</t>
        </r>
      </text>
    </comment>
    <comment ref="K91" authorId="0" shapeId="0" xr:uid="{7DA1224D-47EE-458D-BB9D-FAEDCB48AACE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3</t>
        </r>
      </text>
    </comment>
    <comment ref="L91" authorId="0" shapeId="0" xr:uid="{6079AFBC-9867-4B12-8965-5E788597AAC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18</t>
        </r>
      </text>
    </comment>
    <comment ref="H95" authorId="0" shapeId="0" xr:uid="{8C1FC8ED-6D96-47EF-9C21-47A08117F3CB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</t>
        </r>
      </text>
    </comment>
    <comment ref="M95" authorId="0" shapeId="0" xr:uid="{C7C655FB-DED8-4129-B702-54EE6B692435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8</t>
        </r>
      </text>
    </comment>
    <comment ref="G99" authorId="0" shapeId="0" xr:uid="{BEC8F35F-BD03-48E6-AEF6-3747E4AE9092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8</t>
        </r>
      </text>
    </comment>
    <comment ref="H99" authorId="0" shapeId="0" xr:uid="{499541D3-4CB3-4776-AE04-1AEFC5D1862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7</t>
        </r>
      </text>
    </comment>
    <comment ref="I99" authorId="0" shapeId="0" xr:uid="{E0938C47-5989-4FC7-B084-0E6667059218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4</t>
        </r>
      </text>
    </comment>
    <comment ref="J99" authorId="0" shapeId="0" xr:uid="{A3D63BD9-E259-4069-91EB-7576AA1672D5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3</t>
        </r>
      </text>
    </comment>
    <comment ref="H100" authorId="0" shapeId="0" xr:uid="{0E3F49B0-B5BA-41E9-81C6-D3D3F7DCE9CF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6</t>
        </r>
      </text>
    </comment>
    <comment ref="I100" authorId="0" shapeId="0" xr:uid="{1B66ECF6-D2EE-4D94-8399-0607A3E5AAE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5</t>
        </r>
      </text>
    </comment>
    <comment ref="J100" authorId="0" shapeId="0" xr:uid="{77134017-19F4-4911-BFF8-DDDBFD19C26C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K100" authorId="0" shapeId="0" xr:uid="{24548824-4D14-4F8B-AABB-394725D15E1E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</t>
        </r>
      </text>
    </comment>
    <comment ref="H104" authorId="0" shapeId="0" xr:uid="{A77CD312-F522-45DE-9638-AC42C8EA2221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3</t>
        </r>
      </text>
    </comment>
    <comment ref="J104" authorId="0" shapeId="0" xr:uid="{E54F52DD-D101-49E5-821C-39589F123F3D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</t>
        </r>
      </text>
    </comment>
    <comment ref="K104" authorId="0" shapeId="0" xr:uid="{9FF9C534-11FB-440C-AC85-D335162E17F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12</t>
        </r>
      </text>
    </comment>
    <comment ref="M104" authorId="0" shapeId="0" xr:uid="{2085AB0B-2B90-4AA8-B11A-6813003A806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10</t>
        </r>
      </text>
    </comment>
    <comment ref="G109" authorId="0" shapeId="0" xr:uid="{6A26140C-2D4F-460F-B3DA-77883C52E68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5</t>
        </r>
      </text>
    </comment>
    <comment ref="I109" authorId="0" shapeId="0" xr:uid="{A75CE247-D216-4404-BADB-36D0BF2415CD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3</t>
        </r>
      </text>
    </comment>
    <comment ref="M109" authorId="0" shapeId="0" xr:uid="{8A66E06A-4601-4F3F-843C-0EA213B5005D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13</t>
        </r>
      </text>
    </comment>
    <comment ref="I110" authorId="0" shapeId="0" xr:uid="{C7E40455-D6AA-48D5-BD80-9B86CE6204CD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H114" authorId="0" shapeId="0" xr:uid="{60884AA2-B91F-48C4-95D5-4FEF2F4F549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K114" authorId="0" shapeId="0" xr:uid="{9974E2E6-F3BE-435B-9250-00E202AF71A5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13</t>
        </r>
      </text>
    </comment>
    <comment ref="L114" authorId="0" shapeId="0" xr:uid="{705257F4-ABA1-437F-BEDA-D90408CAD21C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12</t>
        </r>
      </text>
    </comment>
    <comment ref="G115" authorId="0" shapeId="0" xr:uid="{8C7A2547-0FE3-4412-AD1A-32ECB3EEE8D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4</t>
        </r>
      </text>
    </comment>
    <comment ref="H115" authorId="0" shapeId="0" xr:uid="{03E48275-2B16-47D1-BD0E-9BE63645F81B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3</t>
        </r>
      </text>
    </comment>
    <comment ref="K115" authorId="0" shapeId="0" xr:uid="{0FE4575F-18E0-4AB9-84DF-9783D82E896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14</t>
        </r>
      </text>
    </comment>
    <comment ref="H119" authorId="0" shapeId="0" xr:uid="{EC9CB43A-1CAE-439A-9D73-75CD1B567686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3</t>
        </r>
      </text>
    </comment>
    <comment ref="J119" authorId="0" shapeId="0" xr:uid="{1CE1862F-0BEE-4F76-BD8B-628B1F56AB4D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</t>
        </r>
      </text>
    </comment>
    <comment ref="K119" authorId="0" shapeId="0" xr:uid="{6B3C3989-0852-4798-A0CA-148315F18720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12</t>
        </r>
      </text>
    </comment>
    <comment ref="M119" authorId="0" shapeId="0" xr:uid="{3B170883-091E-4583-A4EF-165AE62C9931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10</t>
        </r>
      </text>
    </comment>
    <comment ref="G124" authorId="0" shapeId="0" xr:uid="{74B7D9CD-0D4B-463B-97A5-B6471FCECF2D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6</t>
        </r>
      </text>
    </comment>
    <comment ref="H124" authorId="0" shapeId="0" xr:uid="{B3D9D410-4187-4617-9CD1-B8436CF89B34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5</t>
        </r>
      </text>
    </comment>
    <comment ref="J124" authorId="0" shapeId="0" xr:uid="{22E18E79-7C55-4342-82CD-412B56EBB7D9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</t>
        </r>
      </text>
    </comment>
    <comment ref="K124" authorId="0" shapeId="0" xr:uid="{CDDCAB97-121B-43B0-AE69-CC810C1136CE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16</t>
        </r>
      </text>
    </comment>
    <comment ref="M124" authorId="0" shapeId="0" xr:uid="{6CDD9761-3553-4CA5-AD0E-31040052249E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14</t>
        </r>
      </text>
    </comment>
    <comment ref="H125" authorId="0" shapeId="0" xr:uid="{D5C7AC32-DA67-483A-AF63-2339E247429A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4</t>
        </r>
      </text>
    </comment>
    <comment ref="J125" authorId="0" shapeId="0" xr:uid="{53536F24-0B9B-4121-813C-F2E32F40B3A3}">
      <text>
        <r>
          <rPr>
            <b/>
            <sz val="9"/>
            <color indexed="81"/>
            <rFont val="Tahoma"/>
            <family val="2"/>
          </rPr>
          <t>만든 이:</t>
        </r>
        <r>
          <rPr>
            <sz val="9"/>
            <color indexed="81"/>
            <rFont val="Tahoma"/>
            <family val="2"/>
          </rPr>
          <t xml:space="preserve">
2</t>
        </r>
      </text>
    </comment>
  </commentList>
</comments>
</file>

<file path=xl/sharedStrings.xml><?xml version="1.0" encoding="utf-8"?>
<sst xmlns="http://schemas.openxmlformats.org/spreadsheetml/2006/main" count="1416" uniqueCount="277">
  <si>
    <t>=</t>
    <phoneticPr fontId="2" type="noConversion"/>
  </si>
  <si>
    <r>
      <t>(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 xml:space="preserve">( </t>
    </r>
    <r>
      <rPr>
        <sz val="11"/>
        <color theme="1"/>
        <rFont val="맑은 고딕"/>
        <family val="2"/>
        <scheme val="minor"/>
      </rPr>
      <t xml:space="preserve">0*2 + </t>
    </r>
    <r>
      <rPr>
        <b/>
        <sz val="11"/>
        <color rgb="FF00B0F0"/>
        <rFont val="맑은 고딕"/>
        <family val="3"/>
        <charset val="129"/>
        <scheme val="minor"/>
      </rPr>
      <t>1</t>
    </r>
    <r>
      <rPr>
        <sz val="11"/>
        <color theme="1"/>
        <rFont val="맑은 고딕"/>
        <family val="2"/>
        <scheme val="minor"/>
      </rPr>
      <t xml:space="preserve"> ) * 2 + </t>
    </r>
    <r>
      <rPr>
        <b/>
        <sz val="11"/>
        <color rgb="FFFF0000"/>
        <rFont val="맑은 고딕"/>
        <family val="3"/>
        <charset val="129"/>
        <scheme val="minor"/>
      </rPr>
      <t>1</t>
    </r>
    <r>
      <rPr>
        <sz val="11"/>
        <color theme="1"/>
        <rFont val="맑은 고딕"/>
        <family val="2"/>
        <scheme val="minor"/>
      </rPr>
      <t xml:space="preserve"> ) * 2 + </t>
    </r>
    <r>
      <rPr>
        <b/>
        <sz val="11"/>
        <color theme="9" tint="-0.249977111117893"/>
        <rFont val="맑은 고딕"/>
        <family val="3"/>
        <charset val="129"/>
        <scheme val="minor"/>
      </rPr>
      <t>0</t>
    </r>
    <r>
      <rPr>
        <sz val="11"/>
        <color theme="1"/>
        <rFont val="맑은 고딕"/>
        <family val="2"/>
        <scheme val="minor"/>
      </rPr>
      <t xml:space="preserve"> ) * 2 + </t>
    </r>
    <r>
      <rPr>
        <b/>
        <sz val="11"/>
        <color rgb="FF7030A0"/>
        <rFont val="맑은 고딕"/>
        <family val="3"/>
        <charset val="129"/>
        <scheme val="minor"/>
      </rPr>
      <t>1</t>
    </r>
    <phoneticPr fontId="2" type="noConversion"/>
  </si>
  <si>
    <t>divisor</t>
    <phoneticPr fontId="2" type="noConversion"/>
  </si>
  <si>
    <t>dividend</t>
    <phoneticPr fontId="2" type="noConversion"/>
  </si>
  <si>
    <t>remainder</t>
    <phoneticPr fontId="2" type="noConversion"/>
  </si>
  <si>
    <t>Day04-pastTest</t>
    <phoneticPr fontId="13" type="noConversion"/>
  </si>
  <si>
    <t>Day05-pastTest</t>
    <phoneticPr fontId="13" type="noConversion"/>
  </si>
  <si>
    <t>Day8-pastTest</t>
    <phoneticPr fontId="13" type="noConversion"/>
  </si>
  <si>
    <t>Day9-pastTest</t>
    <phoneticPr fontId="13" type="noConversion"/>
  </si>
  <si>
    <t>Day10-pastTest</t>
    <phoneticPr fontId="13" type="noConversion"/>
  </si>
  <si>
    <t>비트연산1</t>
    <phoneticPr fontId="13" type="noConversion"/>
  </si>
  <si>
    <t>진법 변환</t>
    <phoneticPr fontId="13" type="noConversion"/>
  </si>
  <si>
    <t>주사위던지기1</t>
    <phoneticPr fontId="13" type="noConversion"/>
  </si>
  <si>
    <t>Day01 - Bitwise, DFS</t>
    <phoneticPr fontId="13" type="noConversion"/>
  </si>
  <si>
    <t>Day02 - RangeSum, Sort</t>
    <phoneticPr fontId="13" type="noConversion"/>
  </si>
  <si>
    <t>Day03-Greedy, Ad-hoc</t>
    <phoneticPr fontId="13" type="noConversion"/>
  </si>
  <si>
    <t>Day06-Bfs, Shortest Path</t>
    <phoneticPr fontId="13" type="noConversion"/>
  </si>
  <si>
    <t>Day07-Union Find</t>
    <phoneticPr fontId="13" type="noConversion"/>
  </si>
  <si>
    <t>주사위던지기2</t>
    <phoneticPr fontId="13" type="noConversion"/>
  </si>
  <si>
    <t>맛있는음식</t>
    <phoneticPr fontId="13" type="noConversion"/>
  </si>
  <si>
    <t>벽장문의 이동</t>
    <phoneticPr fontId="13" type="noConversion"/>
  </si>
  <si>
    <t>숫자야구2</t>
    <phoneticPr fontId="13" type="noConversion"/>
  </si>
  <si>
    <t>스도쿠</t>
    <phoneticPr fontId="13" type="noConversion"/>
  </si>
  <si>
    <t>비숍</t>
    <phoneticPr fontId="13" type="noConversion"/>
  </si>
  <si>
    <t>const구간의 합(1D)</t>
    <phoneticPr fontId="13" type="noConversion"/>
  </si>
  <si>
    <t>const구간의 합(2D)</t>
    <phoneticPr fontId="13" type="noConversion"/>
  </si>
  <si>
    <t>구간 업데이트 [2D]</t>
    <phoneticPr fontId="13" type="noConversion"/>
  </si>
  <si>
    <t>용액</t>
    <phoneticPr fontId="13" type="noConversion"/>
  </si>
  <si>
    <t>부분합</t>
    <phoneticPr fontId="13" type="noConversion"/>
  </si>
  <si>
    <t>힙정렬2</t>
    <phoneticPr fontId="13" type="noConversion"/>
  </si>
  <si>
    <t>계수정렬1</t>
    <phoneticPr fontId="13" type="noConversion"/>
  </si>
  <si>
    <t>합병정렬</t>
    <phoneticPr fontId="13" type="noConversion"/>
  </si>
  <si>
    <t>퀵소트</t>
    <phoneticPr fontId="13" type="noConversion"/>
  </si>
  <si>
    <t>수열복원</t>
    <phoneticPr fontId="13" type="noConversion"/>
  </si>
  <si>
    <t>외양간</t>
    <phoneticPr fontId="13" type="noConversion"/>
  </si>
  <si>
    <t>발전소 짓기</t>
    <phoneticPr fontId="13" type="noConversion"/>
  </si>
  <si>
    <t>냉장고</t>
    <phoneticPr fontId="13" type="noConversion"/>
  </si>
  <si>
    <t>저울</t>
    <phoneticPr fontId="13" type="noConversion"/>
  </si>
  <si>
    <t>마인크래프트</t>
    <phoneticPr fontId="13" type="noConversion"/>
  </si>
  <si>
    <t>에너지 교환</t>
    <phoneticPr fontId="13" type="noConversion"/>
  </si>
  <si>
    <t>EX 안테나배정(230916)</t>
    <phoneticPr fontId="13" type="noConversion"/>
  </si>
  <si>
    <t>EX 우주선착륙(240706)</t>
    <phoneticPr fontId="13" type="noConversion"/>
  </si>
  <si>
    <t>EX Germs(240525)</t>
    <phoneticPr fontId="13" type="noConversion"/>
  </si>
  <si>
    <t xml:space="preserve"> EX 노후화된 도로(250719)</t>
    <phoneticPr fontId="13" type="noConversion"/>
  </si>
  <si>
    <t>EX 화물기차(250329)</t>
    <phoneticPr fontId="13" type="noConversion"/>
  </si>
  <si>
    <t>개미</t>
    <phoneticPr fontId="13" type="noConversion"/>
  </si>
  <si>
    <t>점 모으기</t>
    <phoneticPr fontId="13" type="noConversion"/>
  </si>
  <si>
    <t>직사각형</t>
    <phoneticPr fontId="13" type="noConversion"/>
  </si>
  <si>
    <t>도형 회전1</t>
    <phoneticPr fontId="13" type="noConversion"/>
  </si>
  <si>
    <t>종교</t>
    <phoneticPr fontId="13" type="noConversion"/>
  </si>
  <si>
    <t>직사각형 그룹</t>
    <phoneticPr fontId="13" type="noConversion"/>
  </si>
  <si>
    <t>오리무전기</t>
    <phoneticPr fontId="13" type="noConversion"/>
  </si>
  <si>
    <t>트리(중등)</t>
    <phoneticPr fontId="13" type="noConversion"/>
  </si>
  <si>
    <t>비용</t>
    <phoneticPr fontId="13" type="noConversion"/>
  </si>
  <si>
    <t>TS경유지운송(py)</t>
    <phoneticPr fontId="13" type="noConversion"/>
  </si>
  <si>
    <t>보물섬</t>
    <phoneticPr fontId="13" type="noConversion"/>
  </si>
  <si>
    <t>경로찾기</t>
    <phoneticPr fontId="13" type="noConversion"/>
  </si>
  <si>
    <t>로봇</t>
    <phoneticPr fontId="13" type="noConversion"/>
  </si>
  <si>
    <t>버스 갈아타기</t>
    <phoneticPr fontId="13" type="noConversion"/>
  </si>
  <si>
    <t>그리드 게임</t>
    <phoneticPr fontId="13" type="noConversion"/>
  </si>
  <si>
    <t>지하철</t>
    <phoneticPr fontId="13" type="noConversion"/>
  </si>
  <si>
    <t>꿀꿀이 축제</t>
    <phoneticPr fontId="13" type="noConversion"/>
  </si>
  <si>
    <t>모이기</t>
    <phoneticPr fontId="13" type="noConversion"/>
  </si>
  <si>
    <t>길정비하기</t>
    <phoneticPr fontId="13" type="noConversion"/>
  </si>
  <si>
    <t>HOME</t>
    <phoneticPr fontId="2" type="noConversion"/>
  </si>
  <si>
    <t>j</t>
    <phoneticPr fontId="2" type="noConversion"/>
  </si>
  <si>
    <t>i</t>
    <phoneticPr fontId="2" type="noConversion"/>
  </si>
  <si>
    <t>i/3=0</t>
    <phoneticPr fontId="2" type="noConversion"/>
  </si>
  <si>
    <t>i/3=1</t>
  </si>
  <si>
    <t>i/3=2</t>
  </si>
  <si>
    <t>j/3=0</t>
    <phoneticPr fontId="2" type="noConversion"/>
  </si>
  <si>
    <t>j/3=1</t>
  </si>
  <si>
    <t>j/3=2</t>
  </si>
  <si>
    <r>
      <t xml:space="preserve">i/3*3+j/3=
</t>
    </r>
    <r>
      <rPr>
        <sz val="18"/>
        <color theme="5"/>
        <rFont val="맑은 고딕"/>
        <family val="3"/>
        <charset val="129"/>
        <scheme val="minor"/>
      </rPr>
      <t>0</t>
    </r>
    <phoneticPr fontId="2" type="noConversion"/>
  </si>
  <si>
    <r>
      <t xml:space="preserve">i/3*3+j/3=
</t>
    </r>
    <r>
      <rPr>
        <sz val="18"/>
        <color theme="5"/>
        <rFont val="맑은 고딕"/>
        <family val="3"/>
        <charset val="129"/>
        <scheme val="minor"/>
      </rPr>
      <t>1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</si>
  <si>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i/3*3+j/3=
</t>
    </r>
    <r>
      <rPr>
        <sz val="18"/>
        <color theme="5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</si>
  <si>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i/3*3+j/3=
</t>
    </r>
    <r>
      <rPr>
        <sz val="18"/>
        <color theme="5"/>
        <rFont val="맑은 고딕"/>
        <family val="3"/>
        <charset val="129"/>
        <scheme val="minor"/>
      </rPr>
      <t>3</t>
    </r>
    <phoneticPr fontId="2" type="noConversion"/>
  </si>
  <si>
    <r>
      <t xml:space="preserve">i/3*3+j/3=
</t>
    </r>
    <r>
      <rPr>
        <sz val="18"/>
        <color theme="5"/>
        <rFont val="맑은 고딕"/>
        <family val="3"/>
        <charset val="129"/>
        <scheme val="minor"/>
      </rPr>
      <t>4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</si>
  <si>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i/3*3+j/3=
</t>
    </r>
    <r>
      <rPr>
        <sz val="18"/>
        <color theme="5"/>
        <rFont val="맑은 고딕"/>
        <family val="3"/>
        <charset val="129"/>
        <scheme val="minor"/>
      </rPr>
      <t>5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</si>
  <si>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i/3*3+j/3=
</t>
    </r>
    <r>
      <rPr>
        <sz val="18"/>
        <color theme="5"/>
        <rFont val="맑은 고딕"/>
        <family val="3"/>
        <charset val="129"/>
        <scheme val="minor"/>
      </rPr>
      <t>6</t>
    </r>
    <phoneticPr fontId="2" type="noConversion"/>
  </si>
  <si>
    <r>
      <t xml:space="preserve">i/3*3+j/3=
</t>
    </r>
    <r>
      <rPr>
        <sz val="18"/>
        <color theme="5"/>
        <rFont val="맑은 고딕"/>
        <family val="3"/>
        <charset val="129"/>
        <scheme val="minor"/>
      </rPr>
      <t>7</t>
    </r>
    <r>
      <rPr>
        <sz val="11"/>
        <color theme="1"/>
        <rFont val="맑은 고딕"/>
        <family val="2"/>
        <charset val="129"/>
        <scheme val="minor"/>
      </rPr>
      <t/>
    </r>
  </si>
  <si>
    <r>
      <t xml:space="preserve">i/3*3+j/3=
</t>
    </r>
    <r>
      <rPr>
        <sz val="18"/>
        <color theme="5"/>
        <rFont val="맑은 고딕"/>
        <family val="3"/>
        <charset val="129"/>
        <scheme val="minor"/>
      </rPr>
      <t>8</t>
    </r>
    <r>
      <rPr>
        <sz val="11"/>
        <color theme="1"/>
        <rFont val="맑은 고딕"/>
        <family val="2"/>
        <charset val="129"/>
        <scheme val="minor"/>
      </rPr>
      <t/>
    </r>
  </si>
  <si>
    <t>c</t>
    <phoneticPr fontId="2" type="noConversion"/>
  </si>
  <si>
    <t>r</t>
    <phoneticPr fontId="2" type="noConversion"/>
  </si>
  <si>
    <t>N</t>
    <phoneticPr fontId="2" type="noConversion"/>
  </si>
  <si>
    <t>used</t>
    <phoneticPr fontId="2" type="noConversion"/>
  </si>
  <si>
    <t>info</t>
    <phoneticPr fontId="2" type="noConversion"/>
  </si>
  <si>
    <t>st</t>
    <phoneticPr fontId="2" type="noConversion"/>
  </si>
  <si>
    <t>ba</t>
    <phoneticPr fontId="2" type="noConversion"/>
  </si>
  <si>
    <t>sour</t>
    <phoneticPr fontId="2" type="noConversion"/>
  </si>
  <si>
    <t>bitter</t>
    <phoneticPr fontId="2" type="noConversion"/>
  </si>
  <si>
    <t>…</t>
    <phoneticPr fontId="2" type="noConversion"/>
  </si>
  <si>
    <t>sProd</t>
    <phoneticPr fontId="2" type="noConversion"/>
  </si>
  <si>
    <t>bSum</t>
    <phoneticPr fontId="2" type="noConversion"/>
  </si>
  <si>
    <t>7 </t>
  </si>
  <si>
    <t>a</t>
    <phoneticPr fontId="2" type="noConversion"/>
  </si>
  <si>
    <t>b</t>
    <phoneticPr fontId="2" type="noConversion"/>
  </si>
  <si>
    <t>2번 5번 벽장이 열린 상태</t>
    <phoneticPr fontId="2" type="noConversion"/>
  </si>
  <si>
    <t>Q</t>
    <phoneticPr fontId="2" type="noConversion"/>
  </si>
  <si>
    <t>2번을 닫고 3번을 열기 : 비용 = 1</t>
    <phoneticPr fontId="2" type="noConversion"/>
  </si>
  <si>
    <t>5번을 닫고 3번을 열기 : 비용 = 2</t>
    <phoneticPr fontId="2" type="noConversion"/>
  </si>
  <si>
    <t>org[]</t>
    <phoneticPr fontId="13" type="noConversion"/>
  </si>
  <si>
    <t>학생번호</t>
    <phoneticPr fontId="13" type="noConversion"/>
  </si>
  <si>
    <t>카드번호</t>
    <phoneticPr fontId="13" type="noConversion"/>
  </si>
  <si>
    <t>A[]</t>
    <phoneticPr fontId="13" type="noConversion"/>
  </si>
  <si>
    <t>카드번호를 index로</t>
    <phoneticPr fontId="13" type="noConversion"/>
  </si>
  <si>
    <t>학번을 value로</t>
    <phoneticPr fontId="13" type="noConversion"/>
  </si>
  <si>
    <t>A[i]</t>
    <phoneticPr fontId="13" type="noConversion"/>
  </si>
  <si>
    <t>dat[]</t>
    <phoneticPr fontId="13" type="noConversion"/>
  </si>
  <si>
    <t>문제 설명 참조</t>
    <phoneticPr fontId="2" type="noConversion"/>
  </si>
  <si>
    <t>첨부파일 참조</t>
    <phoneticPr fontId="2" type="noConversion"/>
  </si>
  <si>
    <t>ans</t>
    <phoneticPr fontId="2" type="noConversion"/>
  </si>
  <si>
    <t>INF</t>
    <phoneticPr fontId="2" type="noConversion"/>
  </si>
  <si>
    <t>sum</t>
    <phoneticPr fontId="2" type="noConversion"/>
  </si>
  <si>
    <t>retA</t>
    <phoneticPr fontId="2" type="noConversion"/>
  </si>
  <si>
    <t>retB</t>
    <phoneticPr fontId="2" type="noConversion"/>
  </si>
  <si>
    <t>End</t>
    <phoneticPr fontId="2" type="noConversion"/>
  </si>
  <si>
    <t>result[]
단순</t>
    <phoneticPr fontId="2" type="noConversion"/>
  </si>
  <si>
    <t>lazy</t>
    <phoneticPr fontId="2" type="noConversion"/>
  </si>
  <si>
    <t>S[]</t>
    <phoneticPr fontId="13" type="noConversion"/>
  </si>
  <si>
    <t>S[][]</t>
    <phoneticPr fontId="13" type="noConversion"/>
  </si>
  <si>
    <t>A[][]</t>
    <phoneticPr fontId="13" type="noConversion"/>
  </si>
  <si>
    <t>N</t>
    <phoneticPr fontId="13" type="noConversion"/>
  </si>
  <si>
    <t>Query</t>
    <phoneticPr fontId="13" type="noConversion"/>
  </si>
  <si>
    <t>sr</t>
    <phoneticPr fontId="13" type="noConversion"/>
  </si>
  <si>
    <t>sc</t>
    <phoneticPr fontId="13" type="noConversion"/>
  </si>
  <si>
    <t>er</t>
    <phoneticPr fontId="13" type="noConversion"/>
  </si>
  <si>
    <t>ec</t>
    <phoneticPr fontId="13" type="noConversion"/>
  </si>
  <si>
    <t>int</t>
    <phoneticPr fontId="2" type="noConversion"/>
  </si>
  <si>
    <t>long long</t>
    <phoneticPr fontId="2" type="noConversion"/>
  </si>
  <si>
    <t>S</t>
    <phoneticPr fontId="2" type="noConversion"/>
  </si>
  <si>
    <t>idx[]</t>
    <phoneticPr fontId="13" type="noConversion"/>
  </si>
  <si>
    <t>1개의 판자를 사용하는 경우 최적해</t>
    <phoneticPr fontId="13" type="noConversion"/>
  </si>
  <si>
    <t>2개의 판자를 사용하는 경우 최적해</t>
    <phoneticPr fontId="13" type="noConversion"/>
  </si>
  <si>
    <t>3개의 판자를 사용하는 경우 최적해</t>
    <phoneticPr fontId="13" type="noConversion"/>
  </si>
  <si>
    <t>4개의 판자를 사용하는 경우 최적해</t>
    <phoneticPr fontId="13" type="noConversion"/>
  </si>
  <si>
    <t>5개의 판자를 사용하는 경우 최적해</t>
    <phoneticPr fontId="13" type="noConversion"/>
  </si>
  <si>
    <t>K</t>
    <phoneticPr fontId="2" type="noConversion"/>
  </si>
  <si>
    <t>최저온도</t>
    <phoneticPr fontId="2" type="noConversion"/>
  </si>
  <si>
    <t>최고 온도</t>
    <phoneticPr fontId="2" type="noConversion"/>
  </si>
  <si>
    <t>A[]</t>
    <phoneticPr fontId="2" type="noConversion"/>
  </si>
  <si>
    <t>height</t>
    <phoneticPr fontId="2" type="noConversion"/>
  </si>
  <si>
    <t>개수</t>
    <phoneticPr fontId="2" type="noConversion"/>
  </si>
  <si>
    <t>c[]</t>
    <phoneticPr fontId="2" type="noConversion"/>
  </si>
  <si>
    <t>높이의합</t>
    <phoneticPr fontId="2" type="noConversion"/>
  </si>
  <si>
    <t>s[]</t>
    <phoneticPr fontId="2" type="noConversion"/>
  </si>
  <si>
    <t>diff</t>
    <phoneticPr fontId="2" type="noConversion"/>
  </si>
  <si>
    <t>높이 개수의 누적합</t>
    <phoneticPr fontId="2" type="noConversion"/>
  </si>
  <si>
    <t>cnt[]</t>
    <phoneticPr fontId="2" type="noConversion"/>
  </si>
  <si>
    <t>높이의 누적합</t>
    <phoneticPr fontId="2" type="noConversion"/>
  </si>
  <si>
    <t>sum[]</t>
    <phoneticPr fontId="2" type="noConversion"/>
  </si>
  <si>
    <t>평균</t>
    <phoneticPr fontId="2" type="noConversion"/>
  </si>
  <si>
    <t>중앙값</t>
    <phoneticPr fontId="2" type="noConversion"/>
  </si>
  <si>
    <t>6번</t>
    <phoneticPr fontId="2" type="noConversion"/>
  </si>
  <si>
    <t>집위치</t>
    <phoneticPr fontId="2" type="noConversion"/>
  </si>
  <si>
    <t>points</t>
    <phoneticPr fontId="13" type="noConversion"/>
  </si>
  <si>
    <t>sorted</t>
    <phoneticPr fontId="2" type="noConversion"/>
  </si>
  <si>
    <t>posit</t>
    <phoneticPr fontId="2" type="noConversion"/>
  </si>
  <si>
    <t>cnt[]</t>
    <phoneticPr fontId="13" type="noConversion"/>
  </si>
  <si>
    <t>초기 입력</t>
    <phoneticPr fontId="2" type="noConversion"/>
  </si>
  <si>
    <t>정렬후</t>
    <phoneticPr fontId="2" type="noConversion"/>
  </si>
  <si>
    <t>타겟무게</t>
    <phoneticPr fontId="2" type="noConversion"/>
  </si>
  <si>
    <t>1번 그림</t>
    <phoneticPr fontId="2" type="noConversion"/>
  </si>
  <si>
    <t>L</t>
  </si>
  <si>
    <t>R</t>
  </si>
  <si>
    <t>2번 그림</t>
    <phoneticPr fontId="2" type="noConversion"/>
  </si>
  <si>
    <t>L</t>
    <phoneticPr fontId="2" type="noConversion"/>
  </si>
  <si>
    <t>초기</t>
    <phoneticPr fontId="2" type="noConversion"/>
  </si>
  <si>
    <t>남은양</t>
    <phoneticPr fontId="2" type="noConversion"/>
  </si>
  <si>
    <t>3번 그림</t>
    <phoneticPr fontId="2" type="noConversion"/>
  </si>
  <si>
    <t>A</t>
  </si>
  <si>
    <t>B</t>
  </si>
  <si>
    <t>C</t>
  </si>
  <si>
    <t>cmd == 0: cw90도 회전</t>
    <phoneticPr fontId="2" type="noConversion"/>
  </si>
  <si>
    <t>H</t>
    <phoneticPr fontId="2" type="noConversion"/>
  </si>
  <si>
    <t>W</t>
    <phoneticPr fontId="2" type="noConversion"/>
  </si>
  <si>
    <t>A[][]</t>
    <phoneticPr fontId="2" type="noConversion"/>
  </si>
  <si>
    <t>T[][]</t>
    <phoneticPr fontId="2" type="noConversion"/>
  </si>
  <si>
    <t xml:space="preserve"> 
</t>
    <phoneticPr fontId="2" type="noConversion"/>
  </si>
  <si>
    <t>cmd == 1: cw180도 회전</t>
    <phoneticPr fontId="2" type="noConversion"/>
  </si>
  <si>
    <t>cmd == 2: cw270도 회전</t>
    <phoneticPr fontId="2" type="noConversion"/>
  </si>
  <si>
    <t>cmd == 3: 상하 뒤집기</t>
    <phoneticPr fontId="2" type="noConversion"/>
  </si>
  <si>
    <t>cmd == 4: 좌우 뒤집기</t>
    <phoneticPr fontId="2" type="noConversion"/>
  </si>
  <si>
    <t>r5</t>
  </si>
  <si>
    <t>r4</t>
  </si>
  <si>
    <t>r3</t>
  </si>
  <si>
    <t>r2</t>
  </si>
  <si>
    <t>r1</t>
    <phoneticPr fontId="2" type="noConversion"/>
  </si>
  <si>
    <t>r0</t>
    <phoneticPr fontId="2" type="noConversion"/>
  </si>
  <si>
    <t>r3, r5</t>
    <phoneticPr fontId="2" type="noConversion"/>
  </si>
  <si>
    <t>r2, r4</t>
    <phoneticPr fontId="2" type="noConversion"/>
  </si>
  <si>
    <t>r1, r5</t>
    <phoneticPr fontId="2" type="noConversion"/>
  </si>
  <si>
    <t>r1, r3</t>
    <phoneticPr fontId="2" type="noConversion"/>
  </si>
  <si>
    <t>r0, r4</t>
    <phoneticPr fontId="2" type="noConversion"/>
  </si>
  <si>
    <t>r5</t>
    <phoneticPr fontId="2" type="noConversion"/>
  </si>
  <si>
    <t>r0, r2</t>
    <phoneticPr fontId="2" type="noConversion"/>
  </si>
  <si>
    <t>r3</t>
    <phoneticPr fontId="2" type="noConversion"/>
  </si>
  <si>
    <t>r4</t>
    <phoneticPr fontId="2" type="noConversion"/>
  </si>
  <si>
    <t>r2</t>
    <phoneticPr fontId="2" type="noConversion"/>
  </si>
  <si>
    <t>정거장 지정</t>
    <phoneticPr fontId="2" type="noConversion"/>
  </si>
  <si>
    <t>O</t>
    <phoneticPr fontId="2" type="noConversion"/>
  </si>
  <si>
    <t>X</t>
    <phoneticPr fontId="2" type="noConversion"/>
  </si>
  <si>
    <t>capa</t>
    <phoneticPr fontId="2" type="noConversion"/>
  </si>
  <si>
    <t>5 7</t>
  </si>
  <si>
    <t>W</t>
  </si>
  <si>
    <t>index</t>
    <phoneticPr fontId="2" type="noConversion"/>
  </si>
  <si>
    <t>lev</t>
    <phoneticPr fontId="2" type="noConversion"/>
  </si>
  <si>
    <t>*</t>
    <phoneticPr fontId="2" type="noConversion"/>
  </si>
  <si>
    <t>fr</t>
    <phoneticPr fontId="2" type="noConversion"/>
  </si>
  <si>
    <t>re</t>
    <phoneticPr fontId="2" type="noConversion"/>
  </si>
  <si>
    <t>val</t>
    <phoneticPr fontId="2" type="noConversion"/>
  </si>
  <si>
    <t>check[]</t>
    <phoneticPr fontId="2" type="noConversion"/>
  </si>
  <si>
    <t>que[]</t>
    <phoneticPr fontId="2" type="noConversion"/>
  </si>
  <si>
    <t>id</t>
    <phoneticPr fontId="2" type="noConversion"/>
  </si>
  <si>
    <t>path[]</t>
    <phoneticPr fontId="2" type="noConversion"/>
  </si>
  <si>
    <t>000</t>
    <phoneticPr fontId="2" type="noConversion"/>
  </si>
  <si>
    <t>111</t>
    <phoneticPr fontId="2" type="noConversion"/>
  </si>
  <si>
    <t>010</t>
    <phoneticPr fontId="2" type="noConversion"/>
  </si>
  <si>
    <t>110</t>
    <phoneticPr fontId="2" type="noConversion"/>
  </si>
  <si>
    <t>001</t>
    <phoneticPr fontId="2" type="noConversion"/>
  </si>
  <si>
    <t>next[]</t>
    <phoneticPr fontId="2" type="noConversion"/>
  </si>
  <si>
    <t>child[]</t>
    <phoneticPr fontId="2" type="noConversion"/>
  </si>
  <si>
    <t>valid</t>
    <phoneticPr fontId="2" type="noConversion"/>
  </si>
  <si>
    <t>이전최적해</t>
    <phoneticPr fontId="2" type="noConversion"/>
  </si>
  <si>
    <t>현재최적해</t>
    <phoneticPr fontId="2" type="noConversion"/>
  </si>
  <si>
    <t>M</t>
    <phoneticPr fontId="13" type="noConversion"/>
  </si>
  <si>
    <t>간선크기</t>
    <phoneticPr fontId="2" type="noConversion"/>
  </si>
  <si>
    <t>노드크기</t>
    <phoneticPr fontId="2" type="noConversion"/>
  </si>
  <si>
    <t>np</t>
    <phoneticPr fontId="2" type="noConversion"/>
  </si>
  <si>
    <t>cost[]</t>
    <phoneticPr fontId="2" type="noConversion"/>
  </si>
  <si>
    <t>start[]</t>
    <phoneticPr fontId="2" type="noConversion"/>
  </si>
  <si>
    <t>s</t>
    <phoneticPr fontId="2" type="noConversion"/>
  </si>
  <si>
    <t>e</t>
    <phoneticPr fontId="2" type="noConversion"/>
  </si>
  <si>
    <t>w</t>
    <phoneticPr fontId="2" type="noConversion"/>
  </si>
  <si>
    <t>visited[][]</t>
    <phoneticPr fontId="2" type="noConversion"/>
  </si>
  <si>
    <t>Map[][]</t>
    <phoneticPr fontId="2" type="noConversion"/>
  </si>
  <si>
    <t>source</t>
    <phoneticPr fontId="2" type="noConversion"/>
  </si>
  <si>
    <t>dest</t>
    <phoneticPr fontId="2" type="noConversion"/>
  </si>
  <si>
    <t>d^2</t>
    <phoneticPr fontId="2" type="noConversion"/>
  </si>
  <si>
    <t>group[]</t>
    <phoneticPr fontId="2" type="noConversion"/>
  </si>
  <si>
    <t>11 5 </t>
  </si>
  <si>
    <t>4 </t>
  </si>
  <si>
    <t>1 </t>
  </si>
  <si>
    <t>9 </t>
  </si>
  <si>
    <t>11 </t>
  </si>
  <si>
    <t>3 </t>
  </si>
  <si>
    <t>0 11 </t>
  </si>
  <si>
    <t>1 8 5 </t>
  </si>
  <si>
    <t>1 3 9 </t>
  </si>
  <si>
    <t>0 10 </t>
  </si>
  <si>
    <t>0 9 </t>
  </si>
  <si>
    <t>0 7 </t>
  </si>
  <si>
    <t>1 2 7 </t>
  </si>
  <si>
    <t>0 5 </t>
  </si>
  <si>
    <t>1 1 10 </t>
  </si>
  <si>
    <t>0 8 </t>
  </si>
  <si>
    <t>0 6 </t>
  </si>
  <si>
    <t>0 2 </t>
  </si>
  <si>
    <t>1 1 3 </t>
  </si>
  <si>
    <t>0 3 </t>
  </si>
  <si>
    <t>0 4</t>
  </si>
  <si>
    <t>a</t>
    <phoneticPr fontId="13" type="noConversion"/>
  </si>
  <si>
    <t>b</t>
    <phoneticPr fontId="13" type="noConversion"/>
  </si>
  <si>
    <t>cost</t>
    <phoneticPr fontId="13" type="noConversion"/>
  </si>
  <si>
    <t>gcnt[]</t>
    <phoneticPr fontId="2" type="noConversion"/>
  </si>
  <si>
    <t>cost</t>
    <phoneticPr fontId="2" type="noConversion"/>
  </si>
  <si>
    <t>sNum</t>
    <phoneticPr fontId="2" type="noConversion"/>
  </si>
  <si>
    <t>OX</t>
    <phoneticPr fontId="2" type="noConversion"/>
  </si>
  <si>
    <t>distSum[][]</t>
    <phoneticPr fontId="2" type="noConversion"/>
  </si>
  <si>
    <t>G[]</t>
    <phoneticPr fontId="2" type="noConversion"/>
  </si>
  <si>
    <t>추가 기출문제</t>
    <phoneticPr fontId="2" type="noConversion"/>
  </si>
  <si>
    <t>EX Square</t>
    <phoneticPr fontId="2" type="noConversion"/>
  </si>
  <si>
    <t>H</t>
  </si>
  <si>
    <t>N</t>
  </si>
  <si>
    <t>O</t>
  </si>
  <si>
    <t>S</t>
  </si>
  <si>
    <t>tg[]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</si>
</sst>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9" tint="-0.249977111117893"/>
      <name val="맑은 고딕"/>
      <family val="3"/>
      <charset val="129"/>
      <scheme val="minor"/>
    </font>
    <font>
      <b/>
      <sz val="11"/>
      <color rgb="FF7030A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B0F0"/>
      <name val="맑은 고딕"/>
      <family val="2"/>
      <charset val="129"/>
      <scheme val="minor"/>
    </font>
    <font>
      <b/>
      <sz val="14"/>
      <color rgb="FF7030A0"/>
      <name val="맑은 고딕"/>
      <family val="3"/>
      <charset val="129"/>
      <scheme val="minor"/>
    </font>
    <font>
      <b/>
      <sz val="14"/>
      <color theme="9" tint="-0.249977111117893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4"/>
      <color rgb="FF00B0F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5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i/>
      <sz val="9"/>
      <color theme="8"/>
      <name val="맑은 고딕"/>
      <family val="3"/>
      <charset val="129"/>
      <scheme val="minor"/>
    </font>
    <font>
      <sz val="18"/>
      <color theme="5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2"/>
      <color theme="1"/>
      <name val="D2Coding"/>
      <family val="3"/>
      <charset val="129"/>
    </font>
    <font>
      <sz val="12"/>
      <color rgb="FF13131F"/>
      <name val="D2Coding"/>
      <family val="3"/>
      <charset val="129"/>
    </font>
    <font>
      <b/>
      <sz val="11"/>
      <color rgb="FFC00000"/>
      <name val="맑은 고딕"/>
      <family val="3"/>
      <charset val="129"/>
      <scheme val="minor"/>
    </font>
    <font>
      <b/>
      <sz val="12"/>
      <color rgb="FF13131F"/>
      <name val="D2Coding"/>
      <family val="3"/>
      <charset val="129"/>
    </font>
    <font>
      <i/>
      <sz val="9"/>
      <color theme="1"/>
      <name val="맑은 고딕"/>
      <family val="3"/>
      <charset val="129"/>
      <scheme val="minor"/>
    </font>
    <font>
      <i/>
      <sz val="9"/>
      <color rgb="FFFF0000"/>
      <name val="맑은 고딕"/>
      <family val="3"/>
      <charset val="129"/>
      <scheme val="minor"/>
    </font>
    <font>
      <b/>
      <sz val="11"/>
      <color theme="8"/>
      <name val="맑은 고딕"/>
      <family val="3"/>
      <charset val="129"/>
      <scheme val="minor"/>
    </font>
    <font>
      <i/>
      <sz val="9"/>
      <color theme="4"/>
      <name val="맑은 고딕"/>
      <family val="3"/>
      <charset val="129"/>
      <scheme val="minor"/>
    </font>
    <font>
      <sz val="6"/>
      <color theme="1"/>
      <name val="맑은 고딕"/>
      <family val="2"/>
      <scheme val="minor"/>
    </font>
    <font>
      <sz val="24"/>
      <color theme="1"/>
      <name val="맑은 고딕"/>
      <family val="2"/>
      <charset val="129"/>
      <scheme val="minor"/>
    </font>
    <font>
      <i/>
      <sz val="18"/>
      <color theme="1"/>
      <name val="맑은 고딕"/>
      <family val="3"/>
      <charset val="129"/>
      <scheme val="minor"/>
    </font>
    <font>
      <sz val="11"/>
      <color theme="0" tint="-0.499984740745262"/>
      <name val="맑은 고딕"/>
      <family val="3"/>
      <charset val="129"/>
      <scheme val="minor"/>
    </font>
    <font>
      <i/>
      <sz val="10"/>
      <color theme="0" tint="-0.499984740745262"/>
      <name val="맑은 고딕"/>
      <family val="3"/>
      <charset val="129"/>
      <scheme val="minor"/>
    </font>
    <font>
      <i/>
      <sz val="10"/>
      <color theme="8"/>
      <name val="맑은 고딕"/>
      <family val="3"/>
      <charset val="129"/>
      <scheme val="minor"/>
    </font>
    <font>
      <i/>
      <sz val="11"/>
      <color theme="8"/>
      <name val="맑은 고딕"/>
      <family val="3"/>
      <charset val="129"/>
      <scheme val="minor"/>
    </font>
    <font>
      <i/>
      <sz val="10"/>
      <color theme="3" tint="0.39997558519241921"/>
      <name val="맑은 고딕"/>
      <family val="3"/>
      <charset val="129"/>
      <scheme val="minor"/>
    </font>
    <font>
      <sz val="12"/>
      <color rgb="FF13131F"/>
      <name val="Arial Unicode MS"/>
      <family val="2"/>
    </font>
    <font>
      <sz val="11"/>
      <color rgb="FF000000"/>
      <name val="Arial"/>
      <family val="2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color theme="5"/>
      <name val="맑은 고딕"/>
      <family val="3"/>
      <charset val="129"/>
      <scheme val="minor"/>
    </font>
    <font>
      <i/>
      <sz val="10"/>
      <color theme="8"/>
      <name val="맑은 고딕"/>
      <family val="2"/>
      <charset val="129"/>
      <scheme val="minor"/>
    </font>
    <font>
      <b/>
      <sz val="11"/>
      <color rgb="FFFF330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돋움체"/>
      <family val="3"/>
      <charset val="129"/>
    </font>
  </fonts>
  <fills count="2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622F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137">
    <xf numFmtId="0" fontId="0" fillId="0" borderId="0" xfId="0"/>
    <xf numFmtId="1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1" applyAlignment="1">
      <alignment vertical="center"/>
    </xf>
    <xf numFmtId="0" fontId="16" fillId="2" borderId="1" xfId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right" vertical="center"/>
    </xf>
    <xf numFmtId="0" fontId="14" fillId="0" borderId="10" xfId="0" applyFont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14" fillId="9" borderId="10" xfId="0" applyFont="1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14" fillId="11" borderId="10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16" fillId="2" borderId="1" xfId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0" fillId="12" borderId="0" xfId="0" applyFill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28" fillId="0" borderId="0" xfId="0" applyFont="1"/>
    <xf numFmtId="0" fontId="26" fillId="0" borderId="2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0" xfId="0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26" fillId="0" borderId="0" xfId="0" applyFont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26" fillId="3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5" borderId="10" xfId="0" applyFill="1" applyBorder="1" applyAlignment="1">
      <alignment horizontal="center" vertical="center"/>
    </xf>
    <xf numFmtId="0" fontId="0" fillId="16" borderId="10" xfId="0" applyFill="1" applyBorder="1" applyAlignment="1">
      <alignment horizontal="center" vertical="center"/>
    </xf>
    <xf numFmtId="0" fontId="0" fillId="17" borderId="10" xfId="0" applyFill="1" applyBorder="1" applyAlignment="1">
      <alignment horizontal="center" vertical="center"/>
    </xf>
    <xf numFmtId="0" fontId="0" fillId="18" borderId="10" xfId="0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0" fillId="19" borderId="10" xfId="0" applyFill="1" applyBorder="1" applyAlignment="1">
      <alignment horizontal="center" vertical="center"/>
    </xf>
    <xf numFmtId="0" fontId="0" fillId="20" borderId="10" xfId="0" applyFill="1" applyBorder="1" applyAlignment="1">
      <alignment horizontal="center" vertical="center"/>
    </xf>
    <xf numFmtId="0" fontId="0" fillId="21" borderId="10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38" fillId="0" borderId="10" xfId="0" applyFont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40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4" fillId="0" borderId="0" xfId="0" applyFont="1"/>
    <xf numFmtId="0" fontId="41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2" fillId="3" borderId="0" xfId="0" applyFont="1" applyFill="1" applyAlignment="1">
      <alignment horizontal="center" vertical="center"/>
    </xf>
    <xf numFmtId="0" fontId="16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hyperlink" Target="https://ko.wikipedia.org/wiki/%EC%99%B8%ED%8C%90%EC%9B%90_%EB%AC%B8%EC%A0%9C" TargetMode="External"/><Relationship Id="rId2" Type="http://schemas.openxmlformats.org/officeDocument/2006/relationships/hyperlink" Target="https://ko.ittrip.xyz/c/c-lang-nested-loop-optimization" TargetMode="External"/><Relationship Id="rId1" Type="http://schemas.openxmlformats.org/officeDocument/2006/relationships/hyperlink" Target="https://huilife.tistory.com/15" TargetMode="External"/><Relationship Id="rId6" Type="http://schemas.openxmlformats.org/officeDocument/2006/relationships/image" Target="../media/image5.png"/><Relationship Id="rId5" Type="http://schemas.openxmlformats.org/officeDocument/2006/relationships/hyperlink" Target="https://en.wikipedia.org/wiki/Vehicle_routing_problem" TargetMode="External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8</xdr:col>
      <xdr:colOff>667513</xdr:colOff>
      <xdr:row>29</xdr:row>
      <xdr:rowOff>162737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55E44E7-8445-4C85-A3D5-805DA7DF1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419100"/>
          <a:ext cx="5468113" cy="58205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6350</xdr:colOff>
      <xdr:row>1</xdr:row>
      <xdr:rowOff>38100</xdr:rowOff>
    </xdr:from>
    <xdr:to>
      <xdr:col>9</xdr:col>
      <xdr:colOff>438150</xdr:colOff>
      <xdr:row>18</xdr:row>
      <xdr:rowOff>120650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97BCF124-A76B-4758-A4FA-1579F0D88758}"/>
            </a:ext>
          </a:extLst>
        </xdr:cNvPr>
        <xdr:cNvGrpSpPr/>
      </xdr:nvGrpSpPr>
      <xdr:grpSpPr>
        <a:xfrm>
          <a:off x="973302" y="269328"/>
          <a:ext cx="5087882" cy="3834743"/>
          <a:chOff x="863600" y="2178050"/>
          <a:chExt cx="5092700" cy="3752850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D3E7277F-DEBA-46A4-8998-948AAC4A573F}"/>
              </a:ext>
            </a:extLst>
          </xdr:cNvPr>
          <xdr:cNvSpPr txBox="1"/>
        </xdr:nvSpPr>
        <xdr:spPr>
          <a:xfrm>
            <a:off x="863600" y="2178050"/>
            <a:ext cx="5092700" cy="37528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100"/>
              <a:t>* Horner's method : wiki</a:t>
            </a:r>
          </a:p>
          <a:p>
            <a:r>
              <a:rPr lang="ko-KR" altLang="en-US" b="0" i="0" u="none" strike="noStrike">
                <a:solidFill>
                  <a:srgbClr val="3366CC"/>
                </a:solidFill>
                <a:effectLst/>
                <a:latin typeface="Arial" panose="020B0604020202020204" pitchFamily="34" charset="0"/>
                <a:hlinkClick xmlns:r="http://schemas.openxmlformats.org/officeDocument/2006/relationships" r:id="">
                  <a:extLst>
                    <a:ext uri="{A12FA001-AC4F-418D-AE19-62706E023703}">
                      <ahyp:hlinkClr xmlns:ahyp="http://schemas.microsoft.com/office/drawing/2018/hyperlinkcolor" val="tx"/>
                    </a:ext>
                  </a:extLst>
                </a:hlinkClick>
              </a:rPr>
              <a:t>수학</a:t>
            </a:r>
            <a:r>
              <a:rPr lang="ko-KR" altLang="en-US" b="0" i="0">
                <a:solidFill>
                  <a:srgbClr val="202122"/>
                </a:solidFill>
                <a:effectLst/>
                <a:latin typeface="Arial" panose="020B0604020202020204" pitchFamily="34" charset="0"/>
              </a:rPr>
              <a:t>에서 </a:t>
            </a:r>
            <a:r>
              <a:rPr lang="ko-KR" altLang="en-US" b="1" i="0">
                <a:solidFill>
                  <a:srgbClr val="202122"/>
                </a:solidFill>
                <a:effectLst/>
                <a:latin typeface="Arial" panose="020B0604020202020204" pitchFamily="34" charset="0"/>
              </a:rPr>
              <a:t>호너의 방법</a:t>
            </a:r>
            <a:r>
              <a:rPr lang="en-US" altLang="ko-KR" b="0" i="0">
                <a:solidFill>
                  <a:srgbClr val="202122"/>
                </a:solidFill>
                <a:effectLst/>
                <a:latin typeface="Arial" panose="020B0604020202020204" pitchFamily="34" charset="0"/>
              </a:rPr>
              <a:t>(</a:t>
            </a:r>
            <a:r>
              <a:rPr lang="ko-KR" altLang="en-US" b="0" i="0" u="none" strike="noStrike">
                <a:solidFill>
                  <a:srgbClr val="3366CC"/>
                </a:solidFill>
                <a:effectLst/>
                <a:latin typeface="Arial" panose="020B0604020202020204" pitchFamily="34" charset="0"/>
                <a:hlinkClick xmlns:r="http://schemas.openxmlformats.org/officeDocument/2006/relationships" r:id="">
                  <a:extLst>
                    <a:ext uri="{A12FA001-AC4F-418D-AE19-62706E023703}">
                      <ahyp:hlinkClr xmlns:ahyp="http://schemas.microsoft.com/office/drawing/2018/hyperlinkcolor" val="tx"/>
                    </a:ext>
                  </a:extLst>
                </a:hlinkClick>
              </a:rPr>
              <a:t>영어</a:t>
            </a:r>
            <a:r>
              <a:rPr lang="en-US" altLang="ko-KR" b="0" i="0">
                <a:solidFill>
                  <a:srgbClr val="202122"/>
                </a:solidFill>
                <a:effectLst/>
                <a:latin typeface="Arial" panose="020B0604020202020204" pitchFamily="34" charset="0"/>
              </a:rPr>
              <a:t>: Horner's rule)</a:t>
            </a:r>
            <a:r>
              <a:rPr lang="en-US" altLang="ko-KR" b="0" i="0" u="none" strike="noStrike" baseline="30000">
                <a:solidFill>
                  <a:srgbClr val="3366CC"/>
                </a:solidFill>
                <a:effectLst/>
                <a:latin typeface="Arial" panose="020B0604020202020204" pitchFamily="34" charset="0"/>
                <a:hlinkClick xmlns:r="http://schemas.openxmlformats.org/officeDocument/2006/relationships" r:id="">
                  <a:extLst>
                    <a:ext uri="{A12FA001-AC4F-418D-AE19-62706E023703}">
                      <ahyp:hlinkClr xmlns:ahyp="http://schemas.microsoft.com/office/drawing/2018/hyperlinkcolor" val="tx"/>
                    </a:ext>
                  </a:extLst>
                </a:hlinkClick>
              </a:rPr>
              <a:t>[1][2]</a:t>
            </a:r>
            <a:r>
              <a:rPr lang="ko-KR" altLang="en-US" b="0" i="0">
                <a:solidFill>
                  <a:srgbClr val="202122"/>
                </a:solidFill>
                <a:effectLst/>
                <a:latin typeface="Arial" panose="020B0604020202020204" pitchFamily="34" charset="0"/>
              </a:rPr>
              <a:t>은 </a:t>
            </a:r>
            <a:r>
              <a:rPr lang="ko-KR" altLang="en-US" b="0" i="0" u="none" strike="noStrike">
                <a:solidFill>
                  <a:srgbClr val="3366CC"/>
                </a:solidFill>
                <a:effectLst/>
                <a:latin typeface="Arial" panose="020B0604020202020204" pitchFamily="34" charset="0"/>
                <a:hlinkClick xmlns:r="http://schemas.openxmlformats.org/officeDocument/2006/relationships" r:id="">
                  <a:extLst>
                    <a:ext uri="{A12FA001-AC4F-418D-AE19-62706E023703}">
                      <ahyp:hlinkClr xmlns:ahyp="http://schemas.microsoft.com/office/drawing/2018/hyperlinkcolor" val="tx"/>
                    </a:ext>
                  </a:extLst>
                </a:hlinkClick>
              </a:rPr>
              <a:t>다항식</a:t>
            </a:r>
            <a:r>
              <a:rPr lang="ko-KR" altLang="en-US" b="0" i="0">
                <a:solidFill>
                  <a:srgbClr val="202122"/>
                </a:solidFill>
                <a:effectLst/>
                <a:latin typeface="Arial" panose="020B0604020202020204" pitchFamily="34" charset="0"/>
              </a:rPr>
              <a:t>을 표현하는 방법이다</a:t>
            </a:r>
            <a:r>
              <a:rPr lang="en-US" altLang="ko-KR" b="0" i="0">
                <a:solidFill>
                  <a:srgbClr val="202122"/>
                </a:solidFill>
                <a:effectLst/>
                <a:latin typeface="Arial" panose="020B0604020202020204" pitchFamily="34" charset="0"/>
              </a:rPr>
              <a:t>.</a:t>
            </a:r>
          </a:p>
          <a:p>
            <a:pPr algn="l"/>
            <a:r>
              <a:rPr lang="en-US" altLang="ko-KR" b="0" i="0">
                <a:solidFill>
                  <a:srgbClr val="202122"/>
                </a:solidFill>
                <a:effectLst/>
                <a:latin typeface="Arial" panose="020B0604020202020204" pitchFamily="34" charset="0"/>
              </a:rPr>
              <a:t> </a:t>
            </a:r>
            <a:r>
              <a:rPr lang="ko-KR" altLang="en-US" b="0" i="0" u="none" strike="noStrike">
                <a:solidFill>
                  <a:srgbClr val="3366CC"/>
                </a:solidFill>
                <a:effectLst/>
                <a:latin typeface="Arial" panose="020B0604020202020204" pitchFamily="34" charset="0"/>
                <a:hlinkClick xmlns:r="http://schemas.openxmlformats.org/officeDocument/2006/relationships" r:id="">
                  <a:extLst>
                    <a:ext uri="{A12FA001-AC4F-418D-AE19-62706E023703}">
                      <ahyp:hlinkClr xmlns:ahyp="http://schemas.microsoft.com/office/drawing/2018/hyperlinkcolor" val="tx"/>
                    </a:ext>
                  </a:extLst>
                </a:hlinkClick>
              </a:rPr>
              <a:t>영국</a:t>
            </a:r>
            <a:r>
              <a:rPr lang="ko-KR" altLang="en-US" b="0" i="0">
                <a:solidFill>
                  <a:srgbClr val="202122"/>
                </a:solidFill>
                <a:effectLst/>
                <a:latin typeface="Arial" panose="020B0604020202020204" pitchFamily="34" charset="0"/>
              </a:rPr>
              <a:t>의 </a:t>
            </a:r>
            <a:r>
              <a:rPr lang="ko-KR" altLang="en-US" b="0" i="0" u="none" strike="noStrike">
                <a:solidFill>
                  <a:srgbClr val="3366CC"/>
                </a:solidFill>
                <a:effectLst/>
                <a:latin typeface="Arial" panose="020B0604020202020204" pitchFamily="34" charset="0"/>
                <a:hlinkClick xmlns:r="http://schemas.openxmlformats.org/officeDocument/2006/relationships" r:id="">
                  <a:extLst>
                    <a:ext uri="{A12FA001-AC4F-418D-AE19-62706E023703}">
                      <ahyp:hlinkClr xmlns:ahyp="http://schemas.microsoft.com/office/drawing/2018/hyperlinkcolor" val="tx"/>
                    </a:ext>
                  </a:extLst>
                </a:hlinkClick>
              </a:rPr>
              <a:t>수학자</a:t>
            </a:r>
            <a:r>
              <a:rPr lang="ko-KR" altLang="en-US" b="0" i="0">
                <a:solidFill>
                  <a:srgbClr val="202122"/>
                </a:solidFill>
                <a:effectLst/>
                <a:latin typeface="Arial" panose="020B0604020202020204" pitchFamily="34" charset="0"/>
              </a:rPr>
              <a:t>인 </a:t>
            </a:r>
            <a:r>
              <a:rPr lang="ko-KR" altLang="en-US" b="0" i="0" u="none" strike="noStrike">
                <a:solidFill>
                  <a:srgbClr val="DD3333"/>
                </a:solidFill>
                <a:effectLst/>
                <a:latin typeface="Arial" panose="020B0604020202020204" pitchFamily="34" charset="0"/>
                <a:hlinkClick xmlns:r="http://schemas.openxmlformats.org/officeDocument/2006/relationships" r:id="">
                  <a:extLst>
                    <a:ext uri="{A12FA001-AC4F-418D-AE19-62706E023703}">
                      <ahyp:hlinkClr xmlns:ahyp="http://schemas.microsoft.com/office/drawing/2018/hyperlinkcolor" val="tx"/>
                    </a:ext>
                  </a:extLst>
                </a:hlinkClick>
              </a:rPr>
              <a:t>윌리엄 조지 호너</a:t>
            </a:r>
            <a:r>
              <a:rPr lang="ko-KR" altLang="en-US" b="0" i="0">
                <a:solidFill>
                  <a:srgbClr val="202122"/>
                </a:solidFill>
                <a:effectLst/>
                <a:latin typeface="Arial" panose="020B0604020202020204" pitchFamily="34" charset="0"/>
              </a:rPr>
              <a:t>의 이름을 따서 지어졌다</a:t>
            </a:r>
            <a:r>
              <a:rPr lang="en-US" altLang="ko-KR" b="0" i="0">
                <a:solidFill>
                  <a:srgbClr val="202122"/>
                </a:solidFill>
                <a:effectLst/>
                <a:latin typeface="Arial" panose="020B0604020202020204" pitchFamily="34" charset="0"/>
              </a:rPr>
              <a:t>.</a:t>
            </a:r>
          </a:p>
          <a:p>
            <a:pPr algn="l"/>
            <a:r>
              <a:rPr lang="ko-KR" altLang="en-US" b="0" i="0">
                <a:solidFill>
                  <a:srgbClr val="202122"/>
                </a:solidFill>
                <a:effectLst/>
                <a:latin typeface="Arial" panose="020B0604020202020204" pitchFamily="34" charset="0"/>
              </a:rPr>
              <a:t>다항식을 호너의 방법으로 정확히 표현하자면</a:t>
            </a:r>
          </a:p>
          <a:p>
            <a:endParaRPr lang="en-US" altLang="ko-KR" sz="1100"/>
          </a:p>
          <a:p>
            <a:endParaRPr lang="en-US" altLang="ko-KR" sz="1100"/>
          </a:p>
          <a:p>
            <a:endParaRPr lang="en-US" altLang="ko-KR" sz="1100"/>
          </a:p>
          <a:p>
            <a:endParaRPr lang="en-US" altLang="ko-KR" sz="1100"/>
          </a:p>
          <a:p>
            <a:endParaRPr lang="en-US" altLang="ko-KR" sz="1100"/>
          </a:p>
          <a:p>
            <a:r>
              <a:rPr lang="ko-KR" altLang="en-US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로 표현하게 된다</a:t>
            </a:r>
            <a:r>
              <a:rPr lang="en-US" altLang="ko-KR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.</a:t>
            </a:r>
            <a:endParaRPr lang="en-US" altLang="ko-KR" sz="1100"/>
          </a:p>
          <a:p>
            <a:endParaRPr lang="en-US" altLang="ko-KR" sz="1100"/>
          </a:p>
          <a:p>
            <a:endParaRPr lang="en-US" altLang="ko-KR" sz="1100"/>
          </a:p>
          <a:p>
            <a:r>
              <a:rPr lang="en-US" altLang="ko-KR" sz="1100"/>
              <a:t>[</a:t>
            </a:r>
            <a:r>
              <a:rPr lang="ko-KR" altLang="en-US" sz="1100"/>
              <a:t>예</a:t>
            </a:r>
            <a:r>
              <a:rPr lang="en-US" altLang="ko-KR" sz="1100"/>
              <a:t>]</a:t>
            </a:r>
          </a:p>
          <a:p>
            <a:pPr algn="l"/>
            <a:r>
              <a:rPr lang="en-US" altLang="ko-KR" b="0" i="0">
                <a:solidFill>
                  <a:srgbClr val="333333"/>
                </a:solidFill>
                <a:effectLst/>
                <a:latin typeface="Noto Sans KR"/>
              </a:rPr>
              <a:t>2</a:t>
            </a:r>
            <a:r>
              <a:rPr lang="ko-KR" altLang="en-US" b="0" i="0">
                <a:solidFill>
                  <a:srgbClr val="333333"/>
                </a:solidFill>
                <a:effectLst/>
                <a:latin typeface="Noto Sans KR"/>
              </a:rPr>
              <a:t>진수 </a:t>
            </a:r>
            <a:r>
              <a:rPr lang="en-US" altLang="ko-KR" b="0" i="0">
                <a:solidFill>
                  <a:srgbClr val="333333"/>
                </a:solidFill>
                <a:effectLst/>
                <a:latin typeface="Noto Sans KR"/>
              </a:rPr>
              <a:t>1101</a:t>
            </a:r>
            <a:r>
              <a:rPr lang="ko-KR" altLang="en-US" b="0" i="0">
                <a:solidFill>
                  <a:srgbClr val="333333"/>
                </a:solidFill>
                <a:effectLst/>
                <a:latin typeface="Noto Sans KR"/>
              </a:rPr>
              <a:t>을 자리수별 가중치를 주어 </a:t>
            </a:r>
            <a:r>
              <a:rPr lang="en-US" altLang="ko-KR" b="0" i="0">
                <a:solidFill>
                  <a:srgbClr val="333333"/>
                </a:solidFill>
                <a:effectLst/>
                <a:latin typeface="Noto Sans KR"/>
              </a:rPr>
              <a:t>10</a:t>
            </a:r>
            <a:r>
              <a:rPr lang="ko-KR" altLang="en-US" b="0" i="0">
                <a:solidFill>
                  <a:srgbClr val="333333"/>
                </a:solidFill>
                <a:effectLst/>
                <a:latin typeface="Noto Sans KR"/>
              </a:rPr>
              <a:t>진수로 나타내면 아래와 같다</a:t>
            </a:r>
            <a:r>
              <a:rPr lang="en-US" altLang="ko-KR" b="0" i="0">
                <a:solidFill>
                  <a:srgbClr val="333333"/>
                </a:solidFill>
                <a:effectLst/>
                <a:latin typeface="Noto Sans KR"/>
              </a:rPr>
              <a:t>. </a:t>
            </a:r>
          </a:p>
          <a:p>
            <a:pPr algn="l"/>
            <a:r>
              <a:rPr lang="en-US" altLang="ko-KR" b="0" i="0">
                <a:solidFill>
                  <a:srgbClr val="333333"/>
                </a:solidFill>
                <a:effectLst/>
                <a:latin typeface="Noto Sans KR"/>
              </a:rPr>
              <a:t>1101 = 0 * 2</a:t>
            </a:r>
            <a:r>
              <a:rPr lang="en-US" altLang="ko-KR" b="0" i="0" baseline="30000">
                <a:solidFill>
                  <a:srgbClr val="333333"/>
                </a:solidFill>
                <a:effectLst/>
                <a:latin typeface="Noto Sans KR"/>
              </a:rPr>
              <a:t>4</a:t>
            </a:r>
            <a:r>
              <a:rPr lang="ko-KR" altLang="en-US" b="0" i="0">
                <a:solidFill>
                  <a:srgbClr val="333333"/>
                </a:solidFill>
                <a:effectLst/>
                <a:latin typeface="Noto Sans KR"/>
              </a:rPr>
              <a:t> </a:t>
            </a:r>
            <a:r>
              <a:rPr lang="en-US" altLang="ko-KR" b="0" i="0">
                <a:solidFill>
                  <a:srgbClr val="333333"/>
                </a:solidFill>
                <a:effectLst/>
                <a:latin typeface="Noto Sans KR"/>
              </a:rPr>
              <a:t>+ 1 * 2</a:t>
            </a:r>
            <a:r>
              <a:rPr lang="en-US" altLang="ko-KR" b="0" i="0" baseline="30000">
                <a:solidFill>
                  <a:srgbClr val="333333"/>
                </a:solidFill>
                <a:effectLst/>
                <a:latin typeface="Noto Sans KR"/>
              </a:rPr>
              <a:t>3</a:t>
            </a:r>
            <a:r>
              <a:rPr lang="ko-KR" altLang="en-US" b="0" i="0">
                <a:solidFill>
                  <a:srgbClr val="333333"/>
                </a:solidFill>
                <a:effectLst/>
                <a:latin typeface="Noto Sans KR"/>
              </a:rPr>
              <a:t> </a:t>
            </a:r>
            <a:r>
              <a:rPr lang="en-US" altLang="ko-KR" b="0" i="0">
                <a:solidFill>
                  <a:srgbClr val="333333"/>
                </a:solidFill>
                <a:effectLst/>
                <a:latin typeface="Noto Sans KR"/>
              </a:rPr>
              <a:t>+ 1 * 2</a:t>
            </a:r>
            <a:r>
              <a:rPr lang="en-US" altLang="ko-KR" b="0" i="0" baseline="30000">
                <a:solidFill>
                  <a:srgbClr val="333333"/>
                </a:solidFill>
                <a:effectLst/>
                <a:latin typeface="Noto Sans KR"/>
              </a:rPr>
              <a:t>2</a:t>
            </a:r>
            <a:r>
              <a:rPr lang="ko-KR" altLang="en-US" b="0" i="0">
                <a:solidFill>
                  <a:srgbClr val="333333"/>
                </a:solidFill>
                <a:effectLst/>
                <a:latin typeface="Noto Sans KR"/>
              </a:rPr>
              <a:t> </a:t>
            </a:r>
            <a:r>
              <a:rPr lang="en-US" altLang="ko-KR" b="0" i="0">
                <a:solidFill>
                  <a:srgbClr val="333333"/>
                </a:solidFill>
                <a:effectLst/>
                <a:latin typeface="Noto Sans KR"/>
              </a:rPr>
              <a:t>+ 0 * 2</a:t>
            </a:r>
            <a:r>
              <a:rPr lang="en-US" altLang="ko-KR" b="0" i="0" baseline="30000">
                <a:solidFill>
                  <a:srgbClr val="333333"/>
                </a:solidFill>
                <a:effectLst/>
                <a:latin typeface="Noto Sans KR"/>
              </a:rPr>
              <a:t>1</a:t>
            </a:r>
            <a:r>
              <a:rPr lang="ko-KR" altLang="en-US" b="0" i="0">
                <a:solidFill>
                  <a:srgbClr val="333333"/>
                </a:solidFill>
                <a:effectLst/>
                <a:latin typeface="Noto Sans KR"/>
              </a:rPr>
              <a:t> </a:t>
            </a:r>
            <a:r>
              <a:rPr lang="en-US" altLang="ko-KR" b="0" i="0">
                <a:solidFill>
                  <a:srgbClr val="333333"/>
                </a:solidFill>
                <a:effectLst/>
                <a:latin typeface="Noto Sans KR"/>
              </a:rPr>
              <a:t>+ 1</a:t>
            </a:r>
            <a:r>
              <a:rPr lang="en-US" altLang="ko-KR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* 2</a:t>
            </a:r>
            <a:r>
              <a:rPr lang="en-US" altLang="ko-KR" sz="1100" b="0" i="0" baseline="30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0 </a:t>
            </a:r>
            <a:r>
              <a:rPr lang="ko-KR" altLang="en-US" b="0" i="0">
                <a:solidFill>
                  <a:srgbClr val="333333"/>
                </a:solidFill>
                <a:effectLst/>
                <a:latin typeface="Noto Sans KR"/>
              </a:rPr>
              <a:t>이므로 </a:t>
            </a:r>
          </a:p>
          <a:p>
            <a:pPr algn="l"/>
            <a:r>
              <a:rPr lang="ko-KR" altLang="en-US" b="0" i="0">
                <a:solidFill>
                  <a:srgbClr val="333333"/>
                </a:solidFill>
                <a:effectLst/>
                <a:latin typeface="Noto Sans KR"/>
              </a:rPr>
              <a:t>         </a:t>
            </a:r>
            <a:r>
              <a:rPr lang="en-US" altLang="ko-KR" b="0" i="0">
                <a:solidFill>
                  <a:srgbClr val="333333"/>
                </a:solidFill>
                <a:effectLst/>
                <a:latin typeface="Noto Sans KR"/>
              </a:rPr>
              <a:t>= (((0*2 + 1) * 2 + 1) * 2 + 0) * 2 + 1 </a:t>
            </a:r>
            <a:r>
              <a:rPr lang="ko-KR" altLang="en-US" b="0" i="0">
                <a:solidFill>
                  <a:srgbClr val="333333"/>
                </a:solidFill>
                <a:effectLst/>
                <a:latin typeface="Noto Sans KR"/>
              </a:rPr>
              <a:t>과 같다</a:t>
            </a:r>
            <a:r>
              <a:rPr lang="en-US" altLang="ko-KR" b="0" i="0">
                <a:solidFill>
                  <a:srgbClr val="333333"/>
                </a:solidFill>
                <a:effectLst/>
                <a:latin typeface="Noto Sans KR"/>
              </a:rPr>
              <a:t>.</a:t>
            </a:r>
          </a:p>
          <a:p>
            <a:endParaRPr lang="ko-KR" altLang="en-US" sz="1100"/>
          </a:p>
        </xdr:txBody>
      </xdr:sp>
      <xdr:pic>
        <xdr:nvPicPr>
          <xdr:cNvPr id="4" name="그림 3">
            <a:extLst>
              <a:ext uri="{FF2B5EF4-FFF2-40B4-BE49-F238E27FC236}">
                <a16:creationId xmlns:a16="http://schemas.microsoft.com/office/drawing/2014/main" id="{A30EB929-A1AE-4E03-86D7-3FE433AC4D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996950" y="3251200"/>
            <a:ext cx="3543482" cy="749339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306733</xdr:colOff>
      <xdr:row>1</xdr:row>
      <xdr:rowOff>67640</xdr:rowOff>
    </xdr:from>
    <xdr:to>
      <xdr:col>31</xdr:col>
      <xdr:colOff>114300</xdr:colOff>
      <xdr:row>23</xdr:row>
      <xdr:rowOff>209549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1284CE7-30A7-4B6E-9D8D-006DFC6F82A5}"/>
            </a:ext>
          </a:extLst>
        </xdr:cNvPr>
        <xdr:cNvSpPr txBox="1"/>
      </xdr:nvSpPr>
      <xdr:spPr>
        <a:xfrm>
          <a:off x="8402983" y="286715"/>
          <a:ext cx="5465417" cy="48472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[</a:t>
          </a:r>
          <a:r>
            <a:rPr lang="ko-KR" altLang="en-US" sz="1100"/>
            <a:t>해법 연구</a:t>
          </a:r>
          <a:r>
            <a:rPr lang="en-US" altLang="ko-KR" sz="1100"/>
            <a:t>]</a:t>
          </a:r>
        </a:p>
        <a:p>
          <a:r>
            <a:rPr lang="en-US" altLang="ko-KR" sz="1100"/>
            <a:t>1. </a:t>
          </a:r>
          <a:r>
            <a:rPr lang="ko-KR" altLang="en-US" sz="1100"/>
            <a:t>호너의 방법을 이용하여 </a:t>
          </a:r>
          <a:r>
            <a:rPr lang="en-US" altLang="ko-KR" sz="1100"/>
            <a:t>A</a:t>
          </a:r>
          <a:r>
            <a:rPr lang="ko-KR" altLang="en-US" sz="1100"/>
            <a:t>진법수 </a:t>
          </a:r>
          <a:r>
            <a:rPr lang="en-US" altLang="ko-KR" sz="1100"/>
            <a:t>S</a:t>
          </a:r>
          <a:r>
            <a:rPr lang="ko-KR" altLang="en-US" sz="1100"/>
            <a:t>를 십진법수 </a:t>
          </a:r>
          <a:r>
            <a:rPr lang="en-US" altLang="ko-KR" sz="1100"/>
            <a:t>d</a:t>
          </a:r>
          <a:r>
            <a:rPr lang="ko-KR" altLang="en-US" sz="1100"/>
            <a:t>로 변환한다</a:t>
          </a:r>
          <a:r>
            <a:rPr lang="en-US" altLang="ko-KR" sz="1100"/>
            <a:t>.</a:t>
          </a:r>
        </a:p>
        <a:p>
          <a:r>
            <a:rPr lang="en-US" altLang="ko-KR" sz="1100"/>
            <a:t>2. </a:t>
          </a:r>
          <a:r>
            <a:rPr lang="ko-KR" altLang="en-US" sz="1100"/>
            <a:t>호너의 방법을 역으로 이용하여 십진법수 </a:t>
          </a:r>
          <a:r>
            <a:rPr lang="en-US" altLang="ko-KR" sz="1100"/>
            <a:t>d</a:t>
          </a:r>
          <a:r>
            <a:rPr lang="ko-KR" altLang="en-US" sz="1100"/>
            <a:t>를 </a:t>
          </a:r>
          <a:r>
            <a:rPr lang="en-US" altLang="ko-KR" sz="1100"/>
            <a:t>B</a:t>
          </a:r>
          <a:r>
            <a:rPr lang="ko-KR" altLang="en-US" sz="1100"/>
            <a:t>진법수로 변환한다</a:t>
          </a:r>
          <a:r>
            <a:rPr lang="en-US" altLang="ko-KR" sz="1100"/>
            <a:t>.</a:t>
          </a:r>
        </a:p>
        <a:p>
          <a:r>
            <a:rPr lang="en-US" altLang="ko-KR" sz="1100"/>
            <a:t>[ to</a:t>
          </a:r>
          <a:r>
            <a:rPr lang="en-US" altLang="ko-KR" sz="1100" baseline="0"/>
            <a:t> decimal]</a:t>
          </a:r>
          <a:endParaRPr lang="en-US" altLang="ko-KR" sz="1100"/>
        </a:p>
        <a:p>
          <a:r>
            <a:rPr lang="en-US" altLang="ko-KR" sz="1100"/>
            <a:t>char</a:t>
          </a:r>
          <a:r>
            <a:rPr lang="en-US" altLang="ko-KR" sz="1100" baseline="0"/>
            <a:t> s[] = "1101";</a:t>
          </a:r>
        </a:p>
        <a:p>
          <a:r>
            <a:rPr lang="en-US" altLang="ko-KR" sz="1100" baseline="0"/>
            <a:t>char lut[] = "0123456789ABCDEFGHIJKLMNOPQRSTUVWXYZ";</a:t>
          </a:r>
        </a:p>
        <a:p>
          <a:r>
            <a:rPr lang="en-US" altLang="ko-KR" sz="1100" baseline="0"/>
            <a:t>int A = 2, B;</a:t>
          </a:r>
        </a:p>
        <a:p>
          <a:r>
            <a:rPr lang="en-US" altLang="ko-KR" sz="1100" baseline="0"/>
            <a:t>long long d = 0;</a:t>
          </a:r>
        </a:p>
        <a:p>
          <a:r>
            <a:rPr lang="en-US" altLang="ko-KR" sz="1100" baseline="0"/>
            <a:t>for(int i=0;s[i];++i){</a:t>
          </a:r>
        </a:p>
        <a:p>
          <a:r>
            <a:rPr lang="en-US" altLang="ko-KR" sz="1100" baseline="0"/>
            <a:t>    if(s[i] &lt; 'A') d = d * A + s[i] - '0';   // Horner's method</a:t>
          </a:r>
        </a:p>
        <a:p>
          <a:r>
            <a:rPr lang="en-US" altLang="ko-KR" sz="1100" baseline="0"/>
            <a:t>    else d = d * A + s[i] - 'A' + 10;</a:t>
          </a:r>
        </a:p>
        <a:p>
          <a:r>
            <a:rPr lang="en-US" altLang="ko-KR" sz="1100" baseline="0"/>
            <a:t>}</a:t>
          </a:r>
        </a:p>
        <a:p>
          <a:endParaRPr lang="en-US" altLang="ko-KR" sz="1100" baseline="0"/>
        </a:p>
        <a:p>
          <a:r>
            <a:rPr lang="en-US" altLang="ko-KR" sz="1100" baseline="0"/>
            <a:t>[to B_system]</a:t>
          </a:r>
        </a:p>
        <a:p>
          <a:r>
            <a:rPr lang="en-US" altLang="ko-KR" sz="1100" baseline="0"/>
            <a:t>void dToB(long long d){</a:t>
          </a:r>
        </a:p>
        <a:p>
          <a:r>
            <a:rPr lang="en-US" altLang="ko-KR" sz="1100" baseline="0"/>
            <a:t>    // base condition</a:t>
          </a:r>
        </a:p>
        <a:p>
          <a:r>
            <a:rPr lang="en-US" altLang="ko-KR" sz="1100" baseline="0"/>
            <a:t>    if(d &lt; B){</a:t>
          </a:r>
          <a:br>
            <a:rPr lang="en-US" altLang="ko-KR" sz="1100" baseline="0"/>
          </a:br>
          <a:r>
            <a:rPr lang="en-US" altLang="ko-KR" sz="1100" baseline="0"/>
            <a:t>         printf("%c",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lut</a:t>
          </a:r>
          <a:r>
            <a:rPr lang="en-US" altLang="ko-KR" sz="1100" baseline="0"/>
            <a:t>[d]);</a:t>
          </a:r>
        </a:p>
        <a:p>
          <a:r>
            <a:rPr lang="en-US" altLang="ko-KR" sz="1100" baseline="0"/>
            <a:t>         return;</a:t>
          </a:r>
        </a:p>
        <a:p>
          <a:r>
            <a:rPr lang="en-US" altLang="ko-KR" sz="1100" baseline="0"/>
            <a:t>     }</a:t>
          </a:r>
        </a:p>
        <a:p>
          <a:r>
            <a:rPr lang="en-US" altLang="ko-KR" sz="1100" baseline="0"/>
            <a:t>    dToB(d / B);</a:t>
          </a:r>
        </a:p>
        <a:p>
          <a:r>
            <a:rPr lang="en-US" altLang="ko-KR" sz="1100" baseline="0"/>
            <a:t>    printf("%c",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lut</a:t>
          </a:r>
          <a:r>
            <a:rPr lang="en-US" altLang="ko-KR" sz="1100" baseline="0"/>
            <a:t>[d % B]);</a:t>
          </a:r>
        </a:p>
        <a:p>
          <a:r>
            <a:rPr lang="en-US" altLang="ko-KR" sz="1100" baseline="0"/>
            <a:t>}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1</xdr:row>
      <xdr:rowOff>66676</xdr:rowOff>
    </xdr:from>
    <xdr:to>
      <xdr:col>15</xdr:col>
      <xdr:colOff>76200</xdr:colOff>
      <xdr:row>67</xdr:row>
      <xdr:rowOff>123826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4DB350A-AD5E-4F75-8DD9-4F1395D3E081}"/>
            </a:ext>
          </a:extLst>
        </xdr:cNvPr>
        <xdr:cNvSpPr txBox="1"/>
      </xdr:nvSpPr>
      <xdr:spPr>
        <a:xfrm>
          <a:off x="742950" y="285751"/>
          <a:ext cx="9448800" cy="13887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>
              <a:latin typeface="D2Coding" panose="020B0609020101020101" pitchFamily="49" charset="-127"/>
              <a:ea typeface="D2Coding" panose="020B0609020101020101" pitchFamily="49" charset="-127"/>
            </a:rPr>
            <a:t>[</a:t>
          </a:r>
          <a:r>
            <a:rPr lang="ko-KR" altLang="en-US" sz="1100" b="1">
              <a:latin typeface="D2Coding" panose="020B0609020101020101" pitchFamily="49" charset="-127"/>
              <a:ea typeface="D2Coding" panose="020B0609020101020101" pitchFamily="49" charset="-127"/>
            </a:rPr>
            <a:t>문제 분석</a:t>
          </a:r>
          <a:r>
            <a:rPr lang="en-US" altLang="ko-KR" sz="1100" b="1">
              <a:latin typeface="D2Coding" panose="020B0609020101020101" pitchFamily="49" charset="-127"/>
              <a:ea typeface="D2Coding" panose="020B0609020101020101" pitchFamily="49" charset="-127"/>
            </a:rPr>
            <a:t>]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M = 1 : </a:t>
          </a: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주사위를 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N</a:t>
          </a: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번 던져서 나올 수 있는 모든 경우 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=&gt; </a:t>
          </a:r>
          <a:r>
            <a:rPr lang="ko-KR" altLang="en-US" b="1" u="sng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중복순열</a:t>
          </a:r>
          <a:endParaRPr lang="en-US" altLang="ko-KR" b="1" u="sng">
            <a:effectLst/>
            <a:latin typeface="D2Coding" panose="020B0609020101020101" pitchFamily="49" charset="-127"/>
            <a:ea typeface="D2Coding" panose="020B0609020101020101" pitchFamily="49" charset="-127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M = 2 : </a:t>
          </a: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주사위를 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N</a:t>
          </a: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번 던져서 중복이 되는 경우를 제외하고 나올 수 있는 모든 경우 </a:t>
          </a:r>
          <a:r>
            <a:rPr lang="en-US" altLang="ko-KR" b="1" u="sng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=&gt; </a:t>
          </a:r>
          <a:r>
            <a:rPr lang="ko-KR" altLang="en-US" b="1" u="sng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중복조합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M = 3 : </a:t>
          </a: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주사위를 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N</a:t>
          </a: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번 던져서 모두 다른 수가 나올 수 있는 모든 경우 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=&gt; </a:t>
          </a:r>
          <a:r>
            <a:rPr lang="ko-KR" altLang="en-US" b="1" u="sng">
              <a:solidFill>
                <a:srgbClr val="FF0000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순열</a:t>
          </a:r>
          <a:endParaRPr lang="en-US" altLang="ko-KR" b="1" u="sng">
            <a:solidFill>
              <a:srgbClr val="FF0000"/>
            </a:solidFill>
            <a:effectLst/>
            <a:latin typeface="D2Coding" panose="020B0609020101020101" pitchFamily="49" charset="-127"/>
            <a:ea typeface="D2Coding" panose="020B0609020101020101" pitchFamily="49" charset="-127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               </a:t>
          </a:r>
          <a:r>
            <a:rPr lang="en-US" altLang="ko-KR" b="1" u="sng">
              <a:solidFill>
                <a:schemeClr val="accent5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backtracking</a:t>
          </a:r>
          <a:r>
            <a:rPr lang="en-US" altLang="ko-KR" b="1" u="sng" baseline="0">
              <a:solidFill>
                <a:schemeClr val="accent5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 </a:t>
          </a:r>
          <a:r>
            <a:rPr lang="ko-KR" altLang="en-US" b="1" u="sng" baseline="0">
              <a:solidFill>
                <a:schemeClr val="accent5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스타일의 탐색에 많이 사용되는 구조이다</a:t>
          </a:r>
          <a:r>
            <a:rPr lang="en-US" altLang="ko-KR" b="1" u="sng" baseline="0">
              <a:solidFill>
                <a:schemeClr val="accent5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  <a:endParaRPr lang="en-US" altLang="ko-KR" b="1" u="sng">
            <a:solidFill>
              <a:schemeClr val="accent5"/>
            </a:solidFill>
            <a:effectLst/>
            <a:latin typeface="D2Coding" panose="020B0609020101020101" pitchFamily="49" charset="-127"/>
            <a:ea typeface="D2Coding" panose="020B0609020101020101" pitchFamily="49" charset="-127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en-US">
            <a:effectLst/>
            <a:latin typeface="D2Coding" panose="020B0609020101020101" pitchFamily="49" charset="-127"/>
            <a:ea typeface="D2Coding" panose="020B0609020101020101" pitchFamily="49" charset="-127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en-US">
            <a:effectLst/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 b="1">
              <a:latin typeface="D2Coding" panose="020B0609020101020101" pitchFamily="49" charset="-127"/>
              <a:ea typeface="D2Coding" panose="020B0609020101020101" pitchFamily="49" charset="-127"/>
            </a:rPr>
            <a:t>[</a:t>
          </a:r>
          <a:r>
            <a:rPr lang="ko-KR" altLang="en-US" sz="1100" b="1">
              <a:latin typeface="D2Coding" panose="020B0609020101020101" pitchFamily="49" charset="-127"/>
              <a:ea typeface="D2Coding" panose="020B0609020101020101" pitchFamily="49" charset="-127"/>
            </a:rPr>
            <a:t>해결 전략 </a:t>
          </a:r>
          <a:r>
            <a:rPr lang="en-US" altLang="ko-KR" sz="1100" b="1">
              <a:latin typeface="D2Coding" panose="020B0609020101020101" pitchFamily="49" charset="-127"/>
              <a:ea typeface="D2Coding" panose="020B0609020101020101" pitchFamily="49" charset="-127"/>
            </a:rPr>
            <a:t>1]</a:t>
          </a:r>
        </a:p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int N;   //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전역변수 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: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주사위 던진 횟수</a:t>
          </a:r>
        </a:p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int A[6] //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전역변수 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: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주사위를 던질때 마다 나온 수</a:t>
          </a:r>
        </a:p>
        <a:p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main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에서는 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N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을 입력받은 후</a:t>
          </a:r>
          <a:endParaRPr lang="en-US" altLang="ko-KR" sz="1100" baseline="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M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값에 따라 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dfs1(1), dfs2(1), dfs3(1)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을 호출한다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1) M == 1 : "</a:t>
          </a:r>
          <a:r>
            <a:rPr lang="ko-KR" altLang="ko-KR" sz="1100" b="1" u="sng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중복순열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"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의 경우 비교적 단순한 재귀 함수로 문제를 해결할 수 있다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이를 해결할 함수를 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dfs1(step)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이라고 하면 다음과 같이 설계할 수 있다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void dfs1(int step) {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    // base condition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    if(step &gt; N) {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    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   A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출력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           return</a:t>
          </a:r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    }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    // normal condition :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주사위 던지기 </a:t>
          </a:r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    loop(i = 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1 ~ 6){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           A[step] = i;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           dfs1(step + 1);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       }</a:t>
          </a:r>
          <a:b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</a:b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}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2) M == 2 : "</a:t>
          </a:r>
          <a:r>
            <a:rPr lang="ko-KR" altLang="en-US" sz="1100" b="1">
              <a:latin typeface="D2Coding" panose="020B0609020101020101" pitchFamily="49" charset="-127"/>
              <a:ea typeface="D2Coding" panose="020B0609020101020101" pitchFamily="49" charset="-127"/>
            </a:rPr>
            <a:t>조합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"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의 경우 다음과 같은 재귀 함수로 문제를 해결할 수 있다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이를 해결할 함수를 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dfs2(step)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이라고 하면 다음과 같이 설계할 수 있다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A[0] = 1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을 초기값을 넣어준다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void dfs2(int step) {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    // base condition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    if(step &gt; N) {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        A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출력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        return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    }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    // normal condition :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주사위 던지기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        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loop(i = </a:t>
          </a:r>
          <a:r>
            <a:rPr lang="en-US" altLang="ko-KR" sz="1100" b="1">
              <a:solidFill>
                <a:schemeClr val="accent5"/>
              </a:solidFill>
              <a:latin typeface="D2Coding" panose="020B0609020101020101" pitchFamily="49" charset="-127"/>
              <a:ea typeface="D2Coding" panose="020B0609020101020101" pitchFamily="49" charset="-127"/>
            </a:rPr>
            <a:t>A[step-1] 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~ 6){  </a:t>
          </a:r>
          <a:r>
            <a:rPr lang="en-US" altLang="ko-KR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//  </a:t>
          </a:r>
          <a:r>
            <a:rPr lang="ko-KR" altLang="en-U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이전단계에서 사용한 수부터 사용해 본다</a:t>
          </a:r>
          <a:r>
            <a:rPr lang="en-US" altLang="ko-KR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altLang="ko-KR" sz="1100" b="1" u="sng">
            <a:latin typeface="D2Coding" panose="020B0609020101020101" pitchFamily="49" charset="-127"/>
            <a:ea typeface="D2Coding" panose="020B0609020101020101" pitchFamily="49" charset="-127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        A[step] = i;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        dfs1(step + 1);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    }</a:t>
          </a:r>
          <a:b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</a:b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}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3) M == 3 : "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순열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"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의 경우 다음과 같은 재귀 함수로 문제를 해결할 수 있다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이를 해결할 함수를 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dfs2(step)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이라고 하면 다음과 같이 설계할 수 있다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used[7]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배열을 이용하여 사용중인 수에 체크한다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void dfs2(int step) {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    // base condition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    if(step &gt; N) {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        A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출력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        return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    }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    // normal condition :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주사위 던지기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        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loop(i = A[step-1] ~ 6){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        if(used[i])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continue;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           used[i] = 1;</a:t>
          </a:r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        A[step] = i;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        dfs1(step + 1);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        used[i]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= 0;</a:t>
          </a:r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    }</a:t>
          </a:r>
          <a:b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</a:b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}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>
              <a:latin typeface="D2Coding" panose="020B0609020101020101" pitchFamily="49" charset="-127"/>
              <a:ea typeface="D2Coding" panose="020B0609020101020101" pitchFamily="49" charset="-127"/>
            </a:rPr>
            <a:t>[</a:t>
          </a:r>
          <a:r>
            <a:rPr lang="ko-KR" altLang="en-US" sz="1100" b="1">
              <a:latin typeface="D2Coding" panose="020B0609020101020101" pitchFamily="49" charset="-127"/>
              <a:ea typeface="D2Coding" panose="020B0609020101020101" pitchFamily="49" charset="-127"/>
            </a:rPr>
            <a:t>해결전략 </a:t>
          </a:r>
          <a:r>
            <a:rPr lang="en-US" altLang="ko-KR" sz="1100" b="1">
              <a:latin typeface="D2Coding" panose="020B0609020101020101" pitchFamily="49" charset="-127"/>
              <a:ea typeface="D2Coding" panose="020B0609020101020101" pitchFamily="49" charset="-127"/>
            </a:rPr>
            <a:t>2]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위 세 함수를 하나의 함수로 표현할 수 있다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104776</xdr:rowOff>
    </xdr:from>
    <xdr:to>
      <xdr:col>14</xdr:col>
      <xdr:colOff>533400</xdr:colOff>
      <xdr:row>24</xdr:row>
      <xdr:rowOff>66676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6D6215A-3964-4010-B814-E7A8883C99A2}"/>
            </a:ext>
          </a:extLst>
        </xdr:cNvPr>
        <xdr:cNvSpPr txBox="1"/>
      </xdr:nvSpPr>
      <xdr:spPr>
        <a:xfrm>
          <a:off x="514350" y="323851"/>
          <a:ext cx="9448800" cy="4781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>
              <a:latin typeface="D2Coding" panose="020B0609020101020101" pitchFamily="49" charset="-127"/>
              <a:ea typeface="D2Coding" panose="020B0609020101020101" pitchFamily="49" charset="-127"/>
            </a:rPr>
            <a:t>[</a:t>
          </a:r>
          <a:r>
            <a:rPr lang="ko-KR" altLang="en-US" sz="1100" b="1">
              <a:latin typeface="D2Coding" panose="020B0609020101020101" pitchFamily="49" charset="-127"/>
              <a:ea typeface="D2Coding" panose="020B0609020101020101" pitchFamily="49" charset="-127"/>
            </a:rPr>
            <a:t>문제 분석</a:t>
          </a:r>
          <a:r>
            <a:rPr lang="en-US" altLang="ko-KR" sz="1100" b="1">
              <a:latin typeface="D2Coding" panose="020B0609020101020101" pitchFamily="49" charset="-127"/>
              <a:ea typeface="D2Coding" panose="020B0609020101020101" pitchFamily="49" charset="-127"/>
            </a:rPr>
            <a:t>]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주사위 던지기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1</a:t>
          </a: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의 유형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 1</a:t>
          </a: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에서 구성된 원소의 합이 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M</a:t>
          </a: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인 경우를 출력하는 것이다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  <a:endParaRPr lang="ko-KR" altLang="en-US">
            <a:effectLst/>
            <a:latin typeface="D2Coding" panose="020B0609020101020101" pitchFamily="49" charset="-127"/>
            <a:ea typeface="D2Coding" panose="020B0609020101020101" pitchFamily="49" charset="-127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en-US">
            <a:effectLst/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 b="1">
              <a:latin typeface="D2Coding" panose="020B0609020101020101" pitchFamily="49" charset="-127"/>
              <a:ea typeface="D2Coding" panose="020B0609020101020101" pitchFamily="49" charset="-127"/>
            </a:rPr>
            <a:t>[</a:t>
          </a:r>
          <a:r>
            <a:rPr lang="ko-KR" altLang="en-US" sz="1100" b="1">
              <a:latin typeface="D2Coding" panose="020B0609020101020101" pitchFamily="49" charset="-127"/>
              <a:ea typeface="D2Coding" panose="020B0609020101020101" pitchFamily="49" charset="-127"/>
            </a:rPr>
            <a:t>해결 전략</a:t>
          </a:r>
          <a:r>
            <a:rPr lang="en-US" altLang="ko-KR" sz="1100" b="1">
              <a:latin typeface="D2Coding" panose="020B0609020101020101" pitchFamily="49" charset="-127"/>
              <a:ea typeface="D2Coding" panose="020B0609020101020101" pitchFamily="49" charset="-127"/>
            </a:rPr>
            <a:t>]</a:t>
          </a:r>
        </a:p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int N, M; //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전역변수 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: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주사위 던진 횟수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,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눈금의 합</a:t>
          </a:r>
        </a:p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int A[6]; //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전역변수 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: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주사위를 던질때 마다 나온 수</a:t>
          </a:r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endParaRPr lang="ko-KR" altLang="en-US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이를 해결할 함수를 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dfs(step, sum)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이라고 하면 다음과 같이 설계할 수 있다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void dfs(int step</a:t>
          </a:r>
          <a:r>
            <a:rPr lang="en-US" altLang="ko-KR" sz="1100">
              <a:solidFill>
                <a:schemeClr val="accent5"/>
              </a:solidFill>
              <a:latin typeface="D2Coding" panose="020B0609020101020101" pitchFamily="49" charset="-127"/>
              <a:ea typeface="D2Coding" panose="020B0609020101020101" pitchFamily="49" charset="-127"/>
            </a:rPr>
            <a:t>, </a:t>
          </a:r>
          <a:r>
            <a:rPr lang="en-US" altLang="ko-KR" sz="1100" b="1">
              <a:solidFill>
                <a:schemeClr val="accent5"/>
              </a:solidFill>
              <a:latin typeface="D2Coding" panose="020B0609020101020101" pitchFamily="49" charset="-127"/>
              <a:ea typeface="D2Coding" panose="020B0609020101020101" pitchFamily="49" charset="-127"/>
            </a:rPr>
            <a:t>int</a:t>
          </a:r>
          <a:r>
            <a:rPr lang="en-US" altLang="ko-KR" sz="1100" b="1" baseline="0">
              <a:solidFill>
                <a:schemeClr val="accent5"/>
              </a:solidFill>
              <a:latin typeface="D2Coding" panose="020B0609020101020101" pitchFamily="49" charset="-127"/>
              <a:ea typeface="D2Coding" panose="020B0609020101020101" pitchFamily="49" charset="-127"/>
            </a:rPr>
            <a:t> sum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) {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    // base condition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    if(step &gt; N) {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        </a:t>
          </a:r>
          <a:r>
            <a:rPr lang="en-US" altLang="ko-KR" sz="1100" b="1">
              <a:solidFill>
                <a:schemeClr val="accent5"/>
              </a:solidFill>
              <a:latin typeface="D2Coding" panose="020B0609020101020101" pitchFamily="49" charset="-127"/>
              <a:ea typeface="D2Coding" panose="020B0609020101020101" pitchFamily="49" charset="-127"/>
            </a:rPr>
            <a:t>if(sum</a:t>
          </a:r>
          <a:r>
            <a:rPr lang="en-US" altLang="ko-KR" sz="1100" b="1" baseline="0">
              <a:solidFill>
                <a:schemeClr val="accent5"/>
              </a:solidFill>
              <a:latin typeface="D2Coding" panose="020B0609020101020101" pitchFamily="49" charset="-127"/>
              <a:ea typeface="D2Coding" panose="020B0609020101020101" pitchFamily="49" charset="-127"/>
            </a:rPr>
            <a:t> == M) A</a:t>
          </a:r>
          <a:r>
            <a:rPr lang="ko-KR" altLang="en-US" sz="1100" b="1" baseline="0">
              <a:solidFill>
                <a:schemeClr val="accent5"/>
              </a:solidFill>
              <a:latin typeface="D2Coding" panose="020B0609020101020101" pitchFamily="49" charset="-127"/>
              <a:ea typeface="D2Coding" panose="020B0609020101020101" pitchFamily="49" charset="-127"/>
            </a:rPr>
            <a:t>출력</a:t>
          </a:r>
          <a:r>
            <a:rPr lang="en-US" altLang="ko-KR" sz="1100" b="1" baseline="0">
              <a:solidFill>
                <a:schemeClr val="accent5"/>
              </a:solidFill>
              <a:latin typeface="D2Coding" panose="020B0609020101020101" pitchFamily="49" charset="-127"/>
              <a:ea typeface="D2Coding" panose="020B0609020101020101" pitchFamily="49" charset="-127"/>
            </a:rPr>
            <a:t>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           return</a:t>
          </a:r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    }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    // normal condition :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주사위 던지기 </a:t>
          </a:r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    loop(i = 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1 ~ 6){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           A[step] = i;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           dfs1(step + 1</a:t>
          </a:r>
          <a:r>
            <a:rPr lang="en-US" altLang="ko-KR" sz="1100" baseline="0">
              <a:solidFill>
                <a:schemeClr val="accent5"/>
              </a:solidFill>
              <a:latin typeface="D2Coding" panose="020B0609020101020101" pitchFamily="49" charset="-127"/>
              <a:ea typeface="D2Coding" panose="020B0609020101020101" pitchFamily="49" charset="-127"/>
            </a:rPr>
            <a:t>, </a:t>
          </a:r>
          <a:r>
            <a:rPr lang="en-US" altLang="ko-KR" sz="1100" b="1" baseline="0">
              <a:solidFill>
                <a:schemeClr val="accent5"/>
              </a:solidFill>
              <a:latin typeface="D2Coding" panose="020B0609020101020101" pitchFamily="49" charset="-127"/>
              <a:ea typeface="D2Coding" panose="020B0609020101020101" pitchFamily="49" charset="-127"/>
            </a:rPr>
            <a:t>sum + i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);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       }</a:t>
          </a:r>
          <a:b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</a:b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}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133350</xdr:colOff>
      <xdr:row>16</xdr:row>
      <xdr:rowOff>47626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ABC940A-79C3-4890-B7DF-499978461B60}"/>
            </a:ext>
          </a:extLst>
        </xdr:cNvPr>
        <xdr:cNvSpPr txBox="1"/>
      </xdr:nvSpPr>
      <xdr:spPr>
        <a:xfrm>
          <a:off x="514350" y="219075"/>
          <a:ext cx="6305550" cy="3190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>
              <a:latin typeface="D2Coding" panose="020B0609020101020101" pitchFamily="49" charset="-127"/>
              <a:ea typeface="D2Coding" panose="020B0609020101020101" pitchFamily="49" charset="-127"/>
            </a:rPr>
            <a:t>[</a:t>
          </a:r>
          <a:r>
            <a:rPr lang="ko-KR" altLang="en-US" sz="1100" b="1">
              <a:latin typeface="D2Coding" panose="020B0609020101020101" pitchFamily="49" charset="-127"/>
              <a:ea typeface="D2Coding" panose="020B0609020101020101" pitchFamily="49" charset="-127"/>
            </a:rPr>
            <a:t>문제 분석</a:t>
          </a:r>
          <a:r>
            <a:rPr lang="en-US" altLang="ko-KR" sz="1100" b="1">
              <a:latin typeface="D2Coding" panose="020B0609020101020101" pitchFamily="49" charset="-127"/>
              <a:ea typeface="D2Coding" panose="020B0609020101020101" pitchFamily="49" charset="-127"/>
            </a:rPr>
            <a:t>]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최대 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N = 10 </a:t>
          </a: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개의 재료가 주어진다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N = 10 </a:t>
          </a:r>
          <a:r>
            <a:rPr lang="ko-KR" altLang="en-US" sz="110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일때 </a:t>
          </a: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선택 가능한 모든 조합을 고려하여도 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1024</a:t>
          </a: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가지 이므로</a:t>
          </a:r>
          <a:endParaRPr lang="en-US" altLang="ko-KR">
            <a:effectLst/>
            <a:latin typeface="D2Coding" panose="020B0609020101020101" pitchFamily="49" charset="-127"/>
            <a:ea typeface="D2Coding" panose="020B0609020101020101" pitchFamily="49" charset="-127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모든 가능한 경우 중에 </a:t>
          </a:r>
          <a:r>
            <a:rPr lang="ko-KR" altLang="en-US" b="1" u="sng">
              <a:solidFill>
                <a:schemeClr val="accent5"/>
              </a:solidFill>
              <a:effectLst/>
            </a:rPr>
            <a:t>신맛의 곱과 쓴맛의 합의 차가 최소</a:t>
          </a:r>
          <a:r>
            <a:rPr lang="ko-KR" altLang="en-US" u="none">
              <a:effectLst/>
            </a:rPr>
            <a:t>가 되는 경우를 선택할 수 있다</a:t>
          </a:r>
          <a:r>
            <a:rPr lang="en-US" altLang="ko-KR" u="none">
              <a:effectLst/>
            </a:rPr>
            <a:t>.</a:t>
          </a:r>
          <a:endParaRPr lang="ko-KR" altLang="en-US" u="none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en-US">
            <a:effectLst/>
            <a:latin typeface="D2Coding" panose="020B0609020101020101" pitchFamily="49" charset="-127"/>
            <a:ea typeface="D2Coding" panose="020B0609020101020101" pitchFamily="49" charset="-127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en-US">
            <a:effectLst/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 b="1">
              <a:latin typeface="D2Coding" panose="020B0609020101020101" pitchFamily="49" charset="-127"/>
              <a:ea typeface="D2Coding" panose="020B0609020101020101" pitchFamily="49" charset="-127"/>
            </a:rPr>
            <a:t>[</a:t>
          </a:r>
          <a:r>
            <a:rPr lang="ko-KR" altLang="en-US" sz="1100" b="1">
              <a:latin typeface="D2Coding" panose="020B0609020101020101" pitchFamily="49" charset="-127"/>
              <a:ea typeface="D2Coding" panose="020B0609020101020101" pitchFamily="49" charset="-127"/>
            </a:rPr>
            <a:t>해결 전략</a:t>
          </a:r>
          <a:r>
            <a:rPr lang="en-US" altLang="ko-KR" sz="1100" b="1">
              <a:latin typeface="D2Coding" panose="020B0609020101020101" pitchFamily="49" charset="-127"/>
              <a:ea typeface="D2Coding" panose="020B0609020101020101" pitchFamily="49" charset="-127"/>
            </a:rPr>
            <a:t>]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재료를 순차적으로 탐색하며 </a:t>
          </a:r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현재 재료를 </a:t>
          </a:r>
          <a:r>
            <a:rPr lang="ko-KR" altLang="en-US" sz="1100" b="1">
              <a:solidFill>
                <a:schemeClr val="accent5"/>
              </a:solidFill>
              <a:latin typeface="D2Coding" panose="020B0609020101020101" pitchFamily="49" charset="-127"/>
              <a:ea typeface="D2Coding" panose="020B0609020101020101" pitchFamily="49" charset="-127"/>
            </a:rPr>
            <a:t>선택하거나 하지 않는 경우를 모두 고려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한다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매 경우마다 신맛의 곱과 쓴맛의 합의 차를 검사하여</a:t>
          </a:r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이전까지 구한 최소 결과보다 현재까지 구한 차가 작다면 </a:t>
          </a:r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결과를 갱신한다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0</xdr:rowOff>
    </xdr:from>
    <xdr:to>
      <xdr:col>9</xdr:col>
      <xdr:colOff>571501</xdr:colOff>
      <xdr:row>25</xdr:row>
      <xdr:rowOff>182218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96A38B-D862-4DC1-BF28-E3781F7669A5}"/>
            </a:ext>
          </a:extLst>
        </xdr:cNvPr>
        <xdr:cNvSpPr txBox="1"/>
      </xdr:nvSpPr>
      <xdr:spPr>
        <a:xfrm>
          <a:off x="513523" y="231913"/>
          <a:ext cx="5938630" cy="54499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>
              <a:latin typeface="D2Coding" panose="020B0609020101020101" pitchFamily="49" charset="-127"/>
              <a:ea typeface="D2Coding" panose="020B0609020101020101" pitchFamily="49" charset="-127"/>
            </a:rPr>
            <a:t>[</a:t>
          </a:r>
          <a:r>
            <a:rPr lang="ko-KR" altLang="en-US" sz="1100" b="1">
              <a:latin typeface="D2Coding" panose="020B0609020101020101" pitchFamily="49" charset="-127"/>
              <a:ea typeface="D2Coding" panose="020B0609020101020101" pitchFamily="49" charset="-127"/>
            </a:rPr>
            <a:t>문제 개요</a:t>
          </a:r>
          <a:r>
            <a:rPr lang="en-US" altLang="ko-KR" sz="1100" b="1">
              <a:latin typeface="D2Coding" panose="020B0609020101020101" pitchFamily="49" charset="-127"/>
              <a:ea typeface="D2Coding" panose="020B0609020101020101" pitchFamily="49" charset="-127"/>
            </a:rPr>
            <a:t>]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최대 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N(&lt;=20)</a:t>
          </a: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개의 벽장이 주어지는데 문은 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N-2</a:t>
          </a: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개이다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문은 미닫이 문으로 하나의 벽장을 열려면 열려있는 다른 벽장이 닫힌다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따라서 닫힌 벽장을 열기 위해서는 현재 열려있는 두 벽장중에 하나는 닫아야 한다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닫힌 벽장을 여는 비용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(</a:t>
          </a: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벽장문 이동수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)</a:t>
          </a: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은 </a:t>
          </a:r>
          <a:endParaRPr lang="en-US" altLang="ko-KR">
            <a:effectLst/>
            <a:latin typeface="D2Coding" panose="020B0609020101020101" pitchFamily="49" charset="-127"/>
            <a:ea typeface="D2Coding" panose="020B0609020101020101" pitchFamily="49" charset="-127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열린 벽장번호와 열고자 하는 닫힌 벽장번호 차이다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>
            <a:effectLst/>
            <a:latin typeface="D2Coding" panose="020B0609020101020101" pitchFamily="49" charset="-127"/>
            <a:ea typeface="D2Coding" panose="020B0609020101020101" pitchFamily="49" charset="-127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최소의 비용으로 주어진 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Q</a:t>
          </a: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개 벽장을 순서대로</a:t>
          </a:r>
          <a:r>
            <a:rPr lang="ko-KR" altLang="en-US" baseline="0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 열 때</a:t>
          </a:r>
          <a:r>
            <a:rPr lang="en-US" altLang="ko-KR" baseline="0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baseline="0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최소비용</a:t>
          </a:r>
          <a:r>
            <a:rPr lang="en-US" altLang="ko-KR" baseline="0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(</a:t>
          </a:r>
          <a:r>
            <a:rPr lang="ko-KR" altLang="en-US" baseline="0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이동한 벽장문 수</a:t>
          </a:r>
          <a:r>
            <a:rPr lang="en-US" altLang="ko-KR" baseline="0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)</a:t>
          </a:r>
          <a:r>
            <a:rPr lang="ko-KR" altLang="en-US" baseline="0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를 구하시오</a:t>
          </a:r>
          <a:r>
            <a:rPr lang="en-US" altLang="ko-KR" baseline="0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  <a:endParaRPr lang="en-US" altLang="ko-KR">
            <a:effectLst/>
            <a:latin typeface="D2Coding" panose="020B0609020101020101" pitchFamily="49" charset="-127"/>
            <a:ea typeface="D2Coding" panose="020B0609020101020101" pitchFamily="49" charset="-127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>
            <a:effectLst/>
            <a:latin typeface="D2Coding" panose="020B0609020101020101" pitchFamily="49" charset="-127"/>
            <a:ea typeface="D2Coding" panose="020B0609020101020101" pitchFamily="49" charset="-127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en-US">
            <a:effectLst/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 b="1">
              <a:latin typeface="D2Coding" panose="020B0609020101020101" pitchFamily="49" charset="-127"/>
              <a:ea typeface="D2Coding" panose="020B0609020101020101" pitchFamily="49" charset="-127"/>
            </a:rPr>
            <a:t>[</a:t>
          </a:r>
          <a:r>
            <a:rPr lang="ko-KR" altLang="en-US" sz="1100" b="1">
              <a:latin typeface="D2Coding" panose="020B0609020101020101" pitchFamily="49" charset="-127"/>
              <a:ea typeface="D2Coding" panose="020B0609020101020101" pitchFamily="49" charset="-127"/>
            </a:rPr>
            <a:t>문제 분석</a:t>
          </a:r>
          <a:r>
            <a:rPr lang="en-US" altLang="ko-KR" sz="1100" b="1">
              <a:latin typeface="D2Coding" panose="020B0609020101020101" pitchFamily="49" charset="-127"/>
              <a:ea typeface="D2Coding" panose="020B0609020101020101" pitchFamily="49" charset="-127"/>
            </a:rPr>
            <a:t>]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현재 상태에 하나의 닫힌 벽장문을 열기위해서는</a:t>
          </a:r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열린 벽장문 두개 중에 하나를 선택해야 한다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쿼리수는 최대 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20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개이므로</a:t>
          </a:r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가능한 조합수는 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2</a:t>
          </a:r>
          <a:r>
            <a:rPr lang="en-US" altLang="ko-KR" sz="1100" baseline="30000">
              <a:latin typeface="D2Coding" panose="020B0609020101020101" pitchFamily="49" charset="-127"/>
              <a:ea typeface="D2Coding" panose="020B0609020101020101" pitchFamily="49" charset="-127"/>
            </a:rPr>
            <a:t>20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= 1'048'576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이다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이는 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1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초 이내에 충분히 실행 가능한 수이다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해결 전략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endParaRPr lang="ko-KR" altLang="ko-KR">
            <a:effectLst/>
          </a:endParaRPr>
        </a:p>
        <a:p>
          <a:pPr eaLnBrk="1" fontAlgn="auto" latinLnBrk="0" hangingPunct="1"/>
          <a:r>
            <a:rPr lang="ko-KR" altLang="en-US">
              <a:effectLst/>
            </a:rPr>
            <a:t>문을 열어야 하는 벽장문 순서대로 진행하며 </a:t>
          </a:r>
          <a:endParaRPr lang="en-US" altLang="ko-KR">
            <a:effectLst/>
          </a:endParaRPr>
        </a:p>
        <a:p>
          <a:pPr eaLnBrk="1" fontAlgn="auto" latinLnBrk="0" hangingPunct="1"/>
          <a:r>
            <a:rPr lang="ko-KR" altLang="en-US">
              <a:effectLst/>
            </a:rPr>
            <a:t>두 개의 열린 문중에 하나를 선태하여 닫고 현재 선택된 벽장을</a:t>
          </a:r>
          <a:endParaRPr lang="en-US" altLang="ko-KR">
            <a:effectLst/>
          </a:endParaRPr>
        </a:p>
        <a:p>
          <a:pPr eaLnBrk="1" fontAlgn="auto" latinLnBrk="0" hangingPunct="1"/>
          <a:r>
            <a:rPr lang="ko-KR" altLang="en-US">
              <a:effectLst/>
            </a:rPr>
            <a:t>여는 방법을 사용할 수 있다</a:t>
          </a:r>
          <a:r>
            <a:rPr lang="en-US" altLang="ko-KR">
              <a:effectLst/>
            </a:rPr>
            <a:t>.</a:t>
          </a:r>
        </a:p>
        <a:p>
          <a:pPr eaLnBrk="1" fontAlgn="auto" latinLnBrk="0" hangingPunct="1"/>
          <a:r>
            <a:rPr lang="en-US" altLang="ko-KR">
              <a:effectLst/>
            </a:rPr>
            <a:t>"</a:t>
          </a:r>
          <a:r>
            <a:rPr lang="ko-KR" altLang="en-US">
              <a:effectLst/>
            </a:rPr>
            <a:t>맛있는 음식</a:t>
          </a:r>
          <a:r>
            <a:rPr lang="en-US" altLang="ko-KR">
              <a:effectLst/>
            </a:rPr>
            <a:t>" </a:t>
          </a:r>
          <a:r>
            <a:rPr lang="ko-KR" altLang="en-US">
              <a:effectLst/>
            </a:rPr>
            <a:t>문제를 응용하면 쉽게 해결된다</a:t>
          </a:r>
          <a:r>
            <a:rPr lang="en-US" altLang="ko-KR">
              <a:effectLst/>
            </a:rPr>
            <a:t>.</a:t>
          </a:r>
          <a:endParaRPr lang="ko-KR" altLang="ko-K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</xdr:txBody>
    </xdr:sp>
    <xdr:clientData/>
  </xdr:twoCellAnchor>
  <xdr:twoCellAnchor>
    <xdr:from>
      <xdr:col>23</xdr:col>
      <xdr:colOff>211538</xdr:colOff>
      <xdr:row>9</xdr:row>
      <xdr:rowOff>36941</xdr:rowOff>
    </xdr:from>
    <xdr:to>
      <xdr:col>31</xdr:col>
      <xdr:colOff>165652</xdr:colOff>
      <xdr:row>17</xdr:row>
      <xdr:rowOff>57978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3D743C0-D8A7-682C-6FB1-9C08F2763701}"/>
            </a:ext>
          </a:extLst>
        </xdr:cNvPr>
        <xdr:cNvSpPr txBox="1"/>
      </xdr:nvSpPr>
      <xdr:spPr>
        <a:xfrm>
          <a:off x="10531668" y="2041332"/>
          <a:ext cx="3822093" cy="179351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현재 열려있는 문 </a:t>
          </a:r>
          <a:r>
            <a:rPr lang="en-US" altLang="ko-KR" sz="1100"/>
            <a:t>a,</a:t>
          </a:r>
          <a:r>
            <a:rPr lang="en-US" altLang="ko-KR" sz="1100" baseline="0"/>
            <a:t> b</a:t>
          </a:r>
          <a:r>
            <a:rPr lang="ko-KR" altLang="en-US" sz="1100" baseline="0"/>
            <a:t>중에 </a:t>
          </a:r>
          <a:endParaRPr lang="en-US" altLang="ko-KR" sz="1100" baseline="0"/>
        </a:p>
        <a:p>
          <a:r>
            <a:rPr lang="ko-KR" altLang="en-US" sz="1100" baseline="0"/>
            <a:t>하나를 닫고 새로운 문을 여는 경우의수는 </a:t>
          </a:r>
          <a:r>
            <a:rPr lang="en-US" altLang="ko-KR" sz="1100" baseline="0"/>
            <a:t>2</a:t>
          </a:r>
          <a:r>
            <a:rPr lang="ko-KR" altLang="en-US" sz="1100" baseline="0"/>
            <a:t>가지 이다</a:t>
          </a:r>
          <a:r>
            <a:rPr lang="en-US" altLang="ko-KR" sz="1100" baseline="0"/>
            <a:t>.</a:t>
          </a:r>
        </a:p>
        <a:p>
          <a:r>
            <a:rPr lang="ko-KR" altLang="en-US" sz="1100" baseline="0"/>
            <a:t>매 단계 선택가능한 경우의 수는 </a:t>
          </a:r>
          <a:r>
            <a:rPr lang="en-US" altLang="ko-KR" sz="1100" baseline="0"/>
            <a:t>2</a:t>
          </a:r>
          <a:r>
            <a:rPr lang="ko-KR" altLang="en-US" sz="1100" baseline="0"/>
            <a:t>가지 이므로</a:t>
          </a:r>
          <a:endParaRPr lang="en-US" altLang="ko-KR" sz="1100" baseline="0"/>
        </a:p>
        <a:p>
          <a:r>
            <a:rPr lang="en-US" altLang="ko-KR" sz="1100" baseline="0"/>
            <a:t>2</a:t>
          </a:r>
          <a:r>
            <a:rPr lang="ko-KR" altLang="en-US" sz="1100" baseline="0"/>
            <a:t>의 </a:t>
          </a:r>
          <a:r>
            <a:rPr lang="en-US" altLang="ko-KR" sz="1100" baseline="0"/>
            <a:t>Q</a:t>
          </a:r>
          <a:r>
            <a:rPr lang="ko-KR" altLang="en-US" sz="1100" baseline="0"/>
            <a:t>제곱이면 모든 경우를 시도해 볼 수 있다</a:t>
          </a:r>
          <a:r>
            <a:rPr lang="en-US" altLang="ko-KR" sz="1100" baseline="0"/>
            <a:t>.</a:t>
          </a:r>
          <a:endParaRPr lang="ko-KR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0</xdr:rowOff>
    </xdr:from>
    <xdr:to>
      <xdr:col>9</xdr:col>
      <xdr:colOff>495301</xdr:colOff>
      <xdr:row>24</xdr:row>
      <xdr:rowOff>11430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314F0F-0755-4264-8F5A-1F31072BE4CE}"/>
            </a:ext>
          </a:extLst>
        </xdr:cNvPr>
        <xdr:cNvSpPr txBox="1"/>
      </xdr:nvSpPr>
      <xdr:spPr>
        <a:xfrm>
          <a:off x="514351" y="228600"/>
          <a:ext cx="5829300" cy="50501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>
              <a:latin typeface="D2Coding" panose="020B0609020101020101" pitchFamily="49" charset="-127"/>
              <a:ea typeface="D2Coding" panose="020B0609020101020101" pitchFamily="49" charset="-127"/>
            </a:rPr>
            <a:t>[</a:t>
          </a:r>
          <a:r>
            <a:rPr lang="ko-KR" altLang="en-US" sz="1100" b="1">
              <a:latin typeface="D2Coding" panose="020B0609020101020101" pitchFamily="49" charset="-127"/>
              <a:ea typeface="D2Coding" panose="020B0609020101020101" pitchFamily="49" charset="-127"/>
            </a:rPr>
            <a:t>문제 분석</a:t>
          </a:r>
          <a:r>
            <a:rPr lang="en-US" altLang="ko-KR" sz="1100" b="1">
              <a:latin typeface="D2Coding" panose="020B0609020101020101" pitchFamily="49" charset="-127"/>
              <a:ea typeface="D2Coding" panose="020B0609020101020101" pitchFamily="49" charset="-127"/>
            </a:rPr>
            <a:t>]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1. API</a:t>
          </a: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문제이다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   </a:t>
          </a: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제출시 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main.cpp</a:t>
          </a: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를 제외하고 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user.cpp</a:t>
          </a: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내용만 제출한다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2. interactive </a:t>
          </a: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문제이다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   </a:t>
          </a: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메인과 정보를 주고받으며 문제를 해결한다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3. </a:t>
          </a: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점수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(query</a:t>
          </a: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함수 호출수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)</a:t>
          </a: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가 작을수록 좋다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4. &lt;</a:t>
          </a: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게임규칙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&gt;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   (1) 0~9</a:t>
          </a: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까지 수중에 중복되지 않게 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4</a:t>
          </a: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개를 가정하며 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main.cpp</a:t>
          </a: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는 문제를 낸다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   (2)</a:t>
          </a:r>
          <a:r>
            <a:rPr lang="en-US" altLang="ko-KR" baseline="0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 </a:t>
          </a:r>
          <a:r>
            <a:rPr lang="ko-KR" altLang="en-US" baseline="0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유저는 </a:t>
          </a:r>
          <a:r>
            <a:rPr lang="en-US" altLang="ko-KR" baseline="0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main.cpp</a:t>
          </a:r>
          <a:r>
            <a:rPr lang="ko-KR" altLang="en-US" baseline="0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의 </a:t>
          </a:r>
          <a:r>
            <a:rPr lang="en-US" altLang="ko-KR" baseline="0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query()</a:t>
          </a:r>
          <a:r>
            <a:rPr lang="ko-KR" altLang="en-US" baseline="0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함수를 통하여 가정한 </a:t>
          </a:r>
          <a:r>
            <a:rPr lang="en-US" altLang="ko-KR" baseline="0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4</a:t>
          </a:r>
          <a:r>
            <a:rPr lang="ko-KR" altLang="en-US" baseline="0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개 수에 대한</a:t>
          </a:r>
          <a:endParaRPr lang="en-US" altLang="ko-KR" baseline="0">
            <a:effectLst/>
            <a:latin typeface="D2Coding" panose="020B0609020101020101" pitchFamily="49" charset="-127"/>
            <a:ea typeface="D2Coding" panose="020B0609020101020101" pitchFamily="49" charset="-127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baseline="0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        </a:t>
          </a:r>
          <a:r>
            <a:rPr lang="ko-KR" altLang="en-US" baseline="0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결과를 얻는다</a:t>
          </a:r>
          <a:r>
            <a:rPr lang="en-US" altLang="ko-KR" baseline="0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. </a:t>
          </a:r>
          <a:r>
            <a:rPr lang="ko-KR" altLang="en-US" baseline="0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결과는 </a:t>
          </a:r>
          <a:r>
            <a:rPr lang="en-US" altLang="ko-KR" baseline="0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strike</a:t>
          </a:r>
          <a:r>
            <a:rPr lang="ko-KR" altLang="en-US" baseline="0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수와 </a:t>
          </a:r>
          <a:r>
            <a:rPr lang="en-US" altLang="ko-KR" baseline="0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ball</a:t>
          </a:r>
          <a:r>
            <a:rPr lang="ko-KR" altLang="en-US" baseline="0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수이다</a:t>
          </a:r>
          <a:r>
            <a:rPr lang="en-US" altLang="ko-KR" baseline="0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  <a:endParaRPr lang="en-US" altLang="ko-KR">
            <a:effectLst/>
            <a:latin typeface="D2Coding" panose="020B0609020101020101" pitchFamily="49" charset="-127"/>
            <a:ea typeface="D2Coding" panose="020B0609020101020101" pitchFamily="49" charset="-127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en-US">
            <a:effectLst/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 b="1">
              <a:latin typeface="D2Coding" panose="020B0609020101020101" pitchFamily="49" charset="-127"/>
              <a:ea typeface="D2Coding" panose="020B0609020101020101" pitchFamily="49" charset="-127"/>
            </a:rPr>
            <a:t>[</a:t>
          </a:r>
          <a:r>
            <a:rPr lang="ko-KR" altLang="en-US" sz="1100" b="1">
              <a:latin typeface="D2Coding" panose="020B0609020101020101" pitchFamily="49" charset="-127"/>
              <a:ea typeface="D2Coding" panose="020B0609020101020101" pitchFamily="49" charset="-127"/>
            </a:rPr>
            <a:t>해결 전략</a:t>
          </a:r>
          <a:r>
            <a:rPr lang="en-US" altLang="ko-KR" sz="1100" b="1">
              <a:latin typeface="D2Coding" panose="020B0609020101020101" pitchFamily="49" charset="-127"/>
              <a:ea typeface="D2Coding" panose="020B0609020101020101" pitchFamily="49" charset="-127"/>
            </a:rPr>
            <a:t>]</a:t>
          </a:r>
        </a:p>
        <a:p>
          <a:r>
            <a:rPr lang="en-US" altLang="ko-KR" sz="1100" b="0">
              <a:latin typeface="D2Coding" panose="020B0609020101020101" pitchFamily="49" charset="-127"/>
              <a:ea typeface="D2Coding" panose="020B0609020101020101" pitchFamily="49" charset="-127"/>
            </a:rPr>
            <a:t>: 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0123 ~ 9876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까지 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4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자리수를 만들어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 볼 수 있다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1. 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수를 가정한다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2. query()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를 통하여 지금까지 알게된 정보를 이용하여</a:t>
          </a:r>
          <a:endParaRPr lang="en-US" altLang="ko-KR" sz="1100" baseline="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  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가정한 수가 답이 될수 있는지 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1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차 검증한다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3. 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답으로 가능한 경우 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query()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를 통해 결과를 받아본다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  (1) query()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결과 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strike == 4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라면 게임 종료</a:t>
          </a:r>
          <a:endParaRPr lang="en-US" altLang="ko-KR" sz="1100" baseline="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  (2) 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그런지 않은 경우 정보 목록에 추가하고 새롭게 가정한 수를</a:t>
          </a:r>
          <a:endParaRPr lang="en-US" altLang="ko-KR" sz="1100" baseline="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      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검증할 때 사용한다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4. 1~3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을 게임종료시까지 반복한다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638175</xdr:colOff>
      <xdr:row>16</xdr:row>
      <xdr:rowOff>238125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BBC6D49-B71B-46CE-B61C-E5EDF419554E}"/>
            </a:ext>
          </a:extLst>
        </xdr:cNvPr>
        <xdr:cNvSpPr txBox="1"/>
      </xdr:nvSpPr>
      <xdr:spPr>
        <a:xfrm>
          <a:off x="514350" y="285750"/>
          <a:ext cx="5438775" cy="4524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>
              <a:latin typeface="D2Coding" panose="020B0609020101020101" pitchFamily="49" charset="-127"/>
              <a:ea typeface="D2Coding" panose="020B0609020101020101" pitchFamily="49" charset="-127"/>
            </a:rPr>
            <a:t>[</a:t>
          </a:r>
          <a:r>
            <a:rPr lang="ko-KR" altLang="en-US" sz="1100" b="1">
              <a:latin typeface="D2Coding" panose="020B0609020101020101" pitchFamily="49" charset="-127"/>
              <a:ea typeface="D2Coding" panose="020B0609020101020101" pitchFamily="49" charset="-127"/>
            </a:rPr>
            <a:t>문제 분석</a:t>
          </a:r>
          <a:r>
            <a:rPr lang="en-US" altLang="ko-KR" sz="1100" b="1">
              <a:latin typeface="D2Coding" panose="020B0609020101020101" pitchFamily="49" charset="-127"/>
              <a:ea typeface="D2Coding" panose="020B0609020101020101" pitchFamily="49" charset="-127"/>
            </a:rPr>
            <a:t>]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9 * 9 </a:t>
          </a: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스도쿠 문제가 주어진다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9 * 9 </a:t>
          </a: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모든 칸이 비어있는 경우가 주어질 수 있다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&lt;</a:t>
          </a: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스도쿠 조건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&gt;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각행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, </a:t>
          </a: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각열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, </a:t>
          </a: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각영역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(3*3)</a:t>
          </a: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에는 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1~9</a:t>
          </a: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가 모두 한번씩 사용되어야 한다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>
            <a:effectLst/>
            <a:latin typeface="D2Coding" panose="020B0609020101020101" pitchFamily="49" charset="-127"/>
            <a:ea typeface="D2Coding" panose="020B0609020101020101" pitchFamily="49" charset="-127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en-US">
            <a:effectLst/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 b="1">
              <a:latin typeface="D2Coding" panose="020B0609020101020101" pitchFamily="49" charset="-127"/>
              <a:ea typeface="D2Coding" panose="020B0609020101020101" pitchFamily="49" charset="-127"/>
            </a:rPr>
            <a:t>[</a:t>
          </a:r>
          <a:r>
            <a:rPr lang="ko-KR" altLang="en-US" sz="1100" b="1">
              <a:latin typeface="D2Coding" panose="020B0609020101020101" pitchFamily="49" charset="-127"/>
              <a:ea typeface="D2Coding" panose="020B0609020101020101" pitchFamily="49" charset="-127"/>
            </a:rPr>
            <a:t>해결 전략</a:t>
          </a:r>
          <a:r>
            <a:rPr lang="en-US" altLang="ko-KR" sz="1100" b="1">
              <a:latin typeface="D2Coding" panose="020B0609020101020101" pitchFamily="49" charset="-127"/>
              <a:ea typeface="D2Coding" panose="020B0609020101020101" pitchFamily="49" charset="-127"/>
            </a:rPr>
            <a:t>]</a:t>
          </a:r>
        </a:p>
        <a:p>
          <a:r>
            <a:rPr lang="ko-KR" altLang="en-US" sz="1100" b="0">
              <a:latin typeface="D2Coding" panose="020B0609020101020101" pitchFamily="49" charset="-127"/>
              <a:ea typeface="D2Coding" panose="020B0609020101020101" pitchFamily="49" charset="-127"/>
            </a:rPr>
            <a:t>첫행을 </a:t>
          </a:r>
          <a:r>
            <a:rPr lang="en-US" altLang="ko-KR" sz="1100" b="0">
              <a:latin typeface="D2Coding" panose="020B0609020101020101" pitchFamily="49" charset="-127"/>
              <a:ea typeface="D2Coding" panose="020B0609020101020101" pitchFamily="49" charset="-127"/>
            </a:rPr>
            <a:t>0</a:t>
          </a:r>
          <a:r>
            <a:rPr lang="ko-KR" altLang="en-US" sz="1100" b="0">
              <a:latin typeface="D2Coding" panose="020B0609020101020101" pitchFamily="49" charset="-127"/>
              <a:ea typeface="D2Coding" panose="020B0609020101020101" pitchFamily="49" charset="-127"/>
            </a:rPr>
            <a:t>부터</a:t>
          </a:r>
          <a:r>
            <a:rPr lang="en-US" altLang="ko-KR" sz="1100" b="0">
              <a:latin typeface="D2Coding" panose="020B0609020101020101" pitchFamily="49" charset="-127"/>
              <a:ea typeface="D2Coding" panose="020B0609020101020101" pitchFamily="49" charset="-127"/>
            </a:rPr>
            <a:t>,</a:t>
          </a:r>
          <a:r>
            <a:rPr lang="en-US" altLang="ko-KR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 </a:t>
          </a:r>
          <a:r>
            <a:rPr lang="ko-KR" altLang="en-US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첫열을 </a:t>
          </a:r>
          <a:r>
            <a:rPr lang="en-US" altLang="ko-KR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0</a:t>
          </a:r>
          <a:r>
            <a:rPr lang="ko-KR" altLang="en-US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부터 진행한다</a:t>
          </a:r>
          <a:r>
            <a:rPr lang="en-US" altLang="ko-KR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r>
            <a:rPr lang="en-US" altLang="ko-KR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(0, 0) ~ (8, 8)</a:t>
          </a:r>
          <a:r>
            <a:rPr lang="ko-KR" altLang="en-US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까지 차례로 진행하며</a:t>
          </a:r>
          <a:endParaRPr lang="en-US" altLang="ko-KR" sz="1100" b="0" baseline="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ko-KR" altLang="en-US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각 칸마다 </a:t>
          </a:r>
          <a:r>
            <a:rPr lang="en-US" altLang="ko-KR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1~9 </a:t>
          </a:r>
          <a:r>
            <a:rPr lang="ko-KR" altLang="en-US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사이 수 </a:t>
          </a:r>
          <a:r>
            <a:rPr lang="en-US" altLang="ko-KR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k </a:t>
          </a:r>
          <a:r>
            <a:rPr lang="ko-KR" altLang="en-US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를 차례로 사용해본다</a:t>
          </a:r>
          <a:r>
            <a:rPr lang="en-US" altLang="ko-KR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r>
            <a:rPr lang="ko-KR" altLang="en-US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이때</a:t>
          </a:r>
          <a:r>
            <a:rPr lang="en-US" altLang="ko-KR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, </a:t>
          </a:r>
          <a:r>
            <a:rPr lang="ko-KR" altLang="en-US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각 행</a:t>
          </a:r>
          <a:r>
            <a:rPr lang="en-US" altLang="ko-KR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, </a:t>
          </a:r>
          <a:r>
            <a:rPr lang="ko-KR" altLang="en-US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각 열</a:t>
          </a:r>
          <a:r>
            <a:rPr lang="en-US" altLang="ko-KR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, </a:t>
          </a:r>
          <a:r>
            <a:rPr lang="ko-KR" altLang="en-US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각 영역에 대하여 </a:t>
          </a:r>
          <a:r>
            <a:rPr lang="en-US" altLang="ko-KR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k</a:t>
          </a:r>
          <a:r>
            <a:rPr lang="ko-KR" altLang="en-US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를 사용할 수 있는지 확인해본다</a:t>
          </a:r>
          <a:r>
            <a:rPr lang="en-US" altLang="ko-KR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r>
            <a:rPr lang="en-US" altLang="ko-KR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(8, 8)</a:t>
          </a:r>
          <a:r>
            <a:rPr lang="ko-KR" altLang="en-US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까지 모든 칸을 채운 경우 출력하고 종료한다</a:t>
          </a:r>
          <a:r>
            <a:rPr lang="en-US" altLang="ko-KR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endParaRPr lang="en-US" altLang="ko-KR" sz="1100" b="0" baseline="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ko-KR" altLang="ko-KR" sz="1100" b="0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각 행</a:t>
          </a:r>
          <a:r>
            <a:rPr lang="en-US" altLang="ko-KR" sz="1100" b="0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, </a:t>
          </a:r>
          <a:r>
            <a:rPr lang="ko-KR" altLang="ko-KR" sz="1100" b="0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각 열</a:t>
          </a:r>
          <a:r>
            <a:rPr lang="en-US" altLang="ko-KR" sz="1100" b="0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, </a:t>
          </a:r>
          <a:r>
            <a:rPr lang="ko-KR" altLang="ko-KR" sz="1100" b="0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각 영역에 대하여 </a:t>
          </a:r>
          <a:r>
            <a:rPr lang="en-US" altLang="ko-KR" sz="1100" b="0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k</a:t>
          </a:r>
          <a:r>
            <a:rPr lang="ko-KR" altLang="ko-KR" sz="1100" b="0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를 사용할 수 있는지 확인</a:t>
          </a:r>
          <a:r>
            <a:rPr lang="ko-KR" altLang="en-US" sz="1100" b="0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할 때</a:t>
          </a:r>
          <a:r>
            <a:rPr lang="en-US" altLang="ko-KR" sz="1100" b="0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,</a:t>
          </a:r>
        </a:p>
        <a:p>
          <a:r>
            <a:rPr lang="ko-KR" altLang="en-US" sz="1100" b="0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행에 대하여는 </a:t>
          </a:r>
          <a:r>
            <a:rPr lang="en-US" altLang="ko-KR" sz="1100" b="0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row[9][10]</a:t>
          </a:r>
        </a:p>
        <a:p>
          <a:r>
            <a:rPr lang="ko-KR" altLang="en-US" sz="1100" b="0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열에 대하여는 </a:t>
          </a:r>
          <a:r>
            <a:rPr lang="en-US" altLang="ko-KR" sz="1100" b="0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col[9][10]</a:t>
          </a:r>
        </a:p>
        <a:p>
          <a:r>
            <a:rPr lang="ko-KR" altLang="en-US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영역에 대하여는 </a:t>
          </a:r>
          <a:r>
            <a:rPr lang="en-US" altLang="ko-KR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loc[9][10] </a:t>
          </a:r>
          <a:r>
            <a:rPr lang="ko-KR" altLang="en-US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배열을 이용할 수 있다</a:t>
          </a:r>
          <a:r>
            <a:rPr lang="en-US" altLang="ko-KR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r>
            <a:rPr lang="ko-KR" altLang="en-US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영역번호는 오른쪽 그림의 설명과 같이 구하여 사용할 수 있다</a:t>
          </a:r>
          <a:r>
            <a:rPr lang="en-US" altLang="ko-KR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</xdr:txBody>
    </xdr:sp>
    <xdr:clientData/>
  </xdr:twoCellAnchor>
  <xdr:twoCellAnchor>
    <xdr:from>
      <xdr:col>22</xdr:col>
      <xdr:colOff>657225</xdr:colOff>
      <xdr:row>16</xdr:row>
      <xdr:rowOff>257175</xdr:rowOff>
    </xdr:from>
    <xdr:to>
      <xdr:col>29</xdr:col>
      <xdr:colOff>152400</xdr:colOff>
      <xdr:row>27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BE2725A-3953-197F-2A7A-541F1FE6C5B1}"/>
            </a:ext>
          </a:extLst>
        </xdr:cNvPr>
        <xdr:cNvSpPr txBox="1"/>
      </xdr:nvSpPr>
      <xdr:spPr>
        <a:xfrm>
          <a:off x="11220450" y="4829175"/>
          <a:ext cx="4162425" cy="2905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/>
            <a:t>[</a:t>
          </a:r>
          <a:r>
            <a:rPr lang="ko-KR" altLang="en-US" sz="1100" b="1"/>
            <a:t>좌표 간 상호 변환</a:t>
          </a:r>
          <a:r>
            <a:rPr lang="en-US" altLang="ko-KR" sz="1100" b="1"/>
            <a:t>]</a:t>
          </a:r>
        </a:p>
        <a:p>
          <a:r>
            <a:rPr lang="en-US" altLang="ko-KR" sz="1100"/>
            <a:t>1</a:t>
          </a:r>
          <a:r>
            <a:rPr lang="ko-KR" altLang="en-US" sz="1100"/>
            <a:t>차원 좌표 </a:t>
          </a:r>
          <a:r>
            <a:rPr lang="en-US" altLang="ko-KR" sz="1100"/>
            <a:t>idx</a:t>
          </a:r>
          <a:r>
            <a:rPr lang="ko-KR" altLang="en-US" sz="1100"/>
            <a:t>를 열크기가 </a:t>
          </a:r>
          <a:r>
            <a:rPr lang="en-US" altLang="ko-KR" sz="1100"/>
            <a:t>N</a:t>
          </a:r>
          <a:r>
            <a:rPr lang="ko-KR" altLang="en-US" sz="1100"/>
            <a:t>인 경우</a:t>
          </a:r>
          <a:endParaRPr lang="en-US" altLang="ko-KR" sz="1100"/>
        </a:p>
        <a:p>
          <a:r>
            <a:rPr lang="en-US" altLang="ko-KR" sz="1100"/>
            <a:t>2</a:t>
          </a:r>
          <a:r>
            <a:rPr lang="ko-KR" altLang="en-US" sz="1100"/>
            <a:t>차원 좌표는 </a:t>
          </a:r>
          <a:r>
            <a:rPr lang="en-US" altLang="ko-KR" sz="1100"/>
            <a:t>(idx / N, idx</a:t>
          </a:r>
          <a:r>
            <a:rPr lang="en-US" altLang="ko-KR" sz="1100" baseline="0"/>
            <a:t> % N)</a:t>
          </a:r>
          <a:r>
            <a:rPr lang="ko-KR" altLang="en-US" sz="1100" baseline="0"/>
            <a:t>으로 구할 수 있다</a:t>
          </a:r>
          <a:r>
            <a:rPr lang="en-US" altLang="ko-KR" sz="1100" baseline="0"/>
            <a:t>.</a:t>
          </a:r>
        </a:p>
        <a:p>
          <a:endParaRPr lang="en-US" altLang="ko-KR" sz="1100" baseline="0"/>
        </a:p>
        <a:p>
          <a:r>
            <a:rPr lang="en-US" altLang="ko-KR" sz="1100" baseline="0"/>
            <a:t>0_base</a:t>
          </a:r>
          <a:r>
            <a:rPr lang="ko-KR" altLang="en-US" sz="1100" baseline="0"/>
            <a:t>로 시작하고 열크기가 </a:t>
          </a:r>
          <a:r>
            <a:rPr lang="en-US" altLang="ko-KR" sz="1100" baseline="0"/>
            <a:t>N</a:t>
          </a:r>
          <a:r>
            <a:rPr lang="ko-KR" altLang="en-US" sz="1100" baseline="0"/>
            <a:t>인  </a:t>
          </a:r>
          <a:r>
            <a:rPr lang="en-US" altLang="ko-KR" sz="1100" baseline="0"/>
            <a:t>2</a:t>
          </a:r>
          <a:r>
            <a:rPr lang="ko-KR" altLang="en-US" sz="1100" baseline="0"/>
            <a:t>차원좌표 </a:t>
          </a:r>
          <a:r>
            <a:rPr lang="en-US" altLang="ko-KR" sz="1100" baseline="0"/>
            <a:t>(r, c)</a:t>
          </a:r>
          <a:r>
            <a:rPr lang="ko-KR" altLang="en-US" sz="1100" baseline="0"/>
            <a:t>를</a:t>
          </a:r>
          <a:endParaRPr lang="en-US" altLang="ko-KR" sz="1100" baseline="0"/>
        </a:p>
        <a:p>
          <a:r>
            <a:rPr lang="en-US" altLang="ko-KR" sz="1100" baseline="0"/>
            <a:t>1</a:t>
          </a:r>
          <a:r>
            <a:rPr lang="ko-KR" altLang="en-US" sz="1100" baseline="0"/>
            <a:t>치원 좌표로 변환하면 </a:t>
          </a:r>
          <a:r>
            <a:rPr lang="en-US" altLang="ko-KR" sz="1100" baseline="0"/>
            <a:t>r * N + c </a:t>
          </a:r>
          <a:r>
            <a:rPr lang="ko-KR" altLang="en-US" sz="1100" baseline="0"/>
            <a:t>이다</a:t>
          </a:r>
          <a:r>
            <a:rPr lang="en-US" altLang="ko-KR" sz="1100" baseline="0"/>
            <a:t>.</a:t>
          </a:r>
          <a:endParaRPr lang="ko-KR" alt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0</xdr:row>
      <xdr:rowOff>289034</xdr:rowOff>
    </xdr:from>
    <xdr:to>
      <xdr:col>8</xdr:col>
      <xdr:colOff>321879</xdr:colOff>
      <xdr:row>18</xdr:row>
      <xdr:rowOff>266700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D128A2F-592C-46BA-84C8-2C0CE4BFB687}"/>
            </a:ext>
          </a:extLst>
        </xdr:cNvPr>
        <xdr:cNvSpPr txBox="1"/>
      </xdr:nvSpPr>
      <xdr:spPr>
        <a:xfrm>
          <a:off x="512380" y="289034"/>
          <a:ext cx="5012120" cy="51802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>
              <a:latin typeface="D2Coding" panose="020B0609020101020101" pitchFamily="49" charset="-127"/>
              <a:ea typeface="D2Coding" panose="020B0609020101020101" pitchFamily="49" charset="-127"/>
            </a:rPr>
            <a:t>[</a:t>
          </a:r>
          <a:r>
            <a:rPr lang="ko-KR" altLang="en-US" sz="1100" b="1">
              <a:latin typeface="D2Coding" panose="020B0609020101020101" pitchFamily="49" charset="-127"/>
              <a:ea typeface="D2Coding" panose="020B0609020101020101" pitchFamily="49" charset="-127"/>
            </a:rPr>
            <a:t>문제 분석</a:t>
          </a:r>
          <a:r>
            <a:rPr lang="en-US" altLang="ko-KR" sz="1100" b="1">
              <a:latin typeface="D2Coding" panose="020B0609020101020101" pitchFamily="49" charset="-127"/>
              <a:ea typeface="D2Coding" panose="020B0609020101020101" pitchFamily="49" charset="-127"/>
            </a:rPr>
            <a:t>]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최대 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10 * 10 </a:t>
          </a: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보드판이 주어진다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칸들은 빈곳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(0), </a:t>
          </a: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사용할수 없는 곳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(1)</a:t>
          </a: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으로 표시되어 있다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빈곳에 비숍을 최대한 놓을때 비숍을 놓을 수 있는 최대 수를 구하시오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비숍은 양쪽 대각선에 있는 다른 비숍을 서로 잡으므로</a:t>
          </a:r>
          <a:endParaRPr lang="en-US" altLang="ko-KR">
            <a:effectLst/>
            <a:latin typeface="D2Coding" panose="020B0609020101020101" pitchFamily="49" charset="-127"/>
            <a:ea typeface="D2Coding" panose="020B0609020101020101" pitchFamily="49" charset="-127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비숍끼리 잡을 수 없도록 배치해야 한다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en-US">
            <a:effectLst/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 b="1">
              <a:latin typeface="D2Coding" panose="020B0609020101020101" pitchFamily="49" charset="-127"/>
              <a:ea typeface="D2Coding" panose="020B0609020101020101" pitchFamily="49" charset="-127"/>
            </a:rPr>
            <a:t>[</a:t>
          </a:r>
          <a:r>
            <a:rPr lang="ko-KR" altLang="en-US" sz="1100" b="1">
              <a:latin typeface="D2Coding" panose="020B0609020101020101" pitchFamily="49" charset="-127"/>
              <a:ea typeface="D2Coding" panose="020B0609020101020101" pitchFamily="49" charset="-127"/>
            </a:rPr>
            <a:t>해결 전략</a:t>
          </a:r>
          <a:r>
            <a:rPr lang="en-US" altLang="ko-KR" sz="1100" b="1">
              <a:latin typeface="D2Coding" panose="020B0609020101020101" pitchFamily="49" charset="-127"/>
              <a:ea typeface="D2Coding" panose="020B0609020101020101" pitchFamily="49" charset="-127"/>
            </a:rPr>
            <a:t>]</a:t>
          </a:r>
        </a:p>
        <a:p>
          <a:r>
            <a:rPr lang="en-US" altLang="ko-KR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10 * 10 </a:t>
          </a:r>
          <a:r>
            <a:rPr lang="ko-KR" altLang="en-US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보드판의 각 칸은</a:t>
          </a:r>
          <a:r>
            <a:rPr lang="en-US" altLang="ko-KR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(r, c)</a:t>
          </a:r>
          <a:r>
            <a:rPr lang="ko-KR" altLang="en-US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라는 </a:t>
          </a:r>
          <a:r>
            <a:rPr lang="en-US" altLang="ko-KR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2D</a:t>
          </a:r>
          <a:r>
            <a:rPr lang="ko-KR" altLang="en-US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좌표를 갖는다</a:t>
          </a:r>
          <a:r>
            <a:rPr lang="en-US" altLang="ko-KR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r>
            <a:rPr lang="ko-KR" altLang="en-US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이를 대각선 좌표로 바꾸어 표현할 수 있을까</a:t>
          </a:r>
          <a:r>
            <a:rPr lang="en-US" altLang="ko-KR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?</a:t>
          </a:r>
        </a:p>
        <a:p>
          <a:r>
            <a:rPr lang="en-US" altLang="ko-KR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(r + c - 1, N + r - c)</a:t>
          </a:r>
          <a:r>
            <a:rPr lang="ko-KR" altLang="en-US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로 표현하면 오른쪽 그림과 같이</a:t>
          </a:r>
          <a:endParaRPr lang="en-US" altLang="ko-KR" sz="1100" b="0" baseline="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ko-KR" altLang="en-US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번호가 부여된다</a:t>
          </a:r>
          <a:r>
            <a:rPr lang="en-US" altLang="ko-KR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endParaRPr lang="en-US" altLang="ko-KR" sz="1100" b="0" baseline="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ko-KR" altLang="en-US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이를 이용하여 행을 단계</a:t>
          </a:r>
          <a:r>
            <a:rPr lang="en-US" altLang="ko-KR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(step)</a:t>
          </a:r>
          <a:r>
            <a:rPr lang="ko-KR" altLang="en-US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으로</a:t>
          </a:r>
          <a:endParaRPr lang="en-US" altLang="ko-KR" sz="1100" b="0" baseline="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ko-KR" altLang="en-US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각 단계마다 열을 선택하거나 하지 않는 방법으로</a:t>
          </a:r>
          <a:endParaRPr lang="en-US" altLang="ko-KR" sz="1100" b="0" baseline="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ko-KR" altLang="en-US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비숍을 놓아 볼 수 있다</a:t>
          </a:r>
          <a:r>
            <a:rPr lang="en-US" altLang="ko-KR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endParaRPr lang="en-US" altLang="ko-KR" sz="1100" b="0" baseline="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ko-KR" altLang="en-US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비숍을 홀수번호 대각선과 짝수 번호 대각선간에는</a:t>
          </a:r>
          <a:endParaRPr lang="en-US" altLang="ko-KR" sz="1100" b="0" baseline="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ko-KR" altLang="en-US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서로 잡지 못한다</a:t>
          </a:r>
          <a:r>
            <a:rPr lang="en-US" altLang="ko-KR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. </a:t>
          </a:r>
          <a:r>
            <a:rPr lang="ko-KR" altLang="en-US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따라서 이둘을 나누어처리하면</a:t>
          </a:r>
          <a:endParaRPr lang="en-US" altLang="ko-KR" sz="1100" b="0" baseline="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ko-KR" altLang="en-US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좀 더 빠른 속도로 문제를 해결할 수 있다</a:t>
          </a:r>
          <a:r>
            <a:rPr lang="en-US" altLang="ko-KR" sz="1100" b="0" baseline="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</xdr:txBody>
    </xdr:sp>
    <xdr:clientData/>
  </xdr:twoCellAnchor>
  <xdr:twoCellAnchor>
    <xdr:from>
      <xdr:col>11</xdr:col>
      <xdr:colOff>177165</xdr:colOff>
      <xdr:row>0</xdr:row>
      <xdr:rowOff>228600</xdr:rowOff>
    </xdr:from>
    <xdr:to>
      <xdr:col>16</xdr:col>
      <xdr:colOff>177165</xdr:colOff>
      <xdr:row>1</xdr:row>
      <xdr:rowOff>243840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AEE84A18-5672-4DCD-BEB8-43D82DCCAA69}"/>
            </a:ext>
          </a:extLst>
        </xdr:cNvPr>
        <xdr:cNvSpPr/>
      </xdr:nvSpPr>
      <xdr:spPr>
        <a:xfrm>
          <a:off x="5673090" y="228600"/>
          <a:ext cx="1476375" cy="30099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400"/>
            <a:t>r + c -1</a:t>
          </a:r>
        </a:p>
      </xdr:txBody>
    </xdr:sp>
    <xdr:clientData/>
  </xdr:twoCellAnchor>
  <xdr:twoCellAnchor>
    <xdr:from>
      <xdr:col>11</xdr:col>
      <xdr:colOff>200485</xdr:colOff>
      <xdr:row>10</xdr:row>
      <xdr:rowOff>237797</xdr:rowOff>
    </xdr:from>
    <xdr:to>
      <xdr:col>16</xdr:col>
      <xdr:colOff>200485</xdr:colOff>
      <xdr:row>11</xdr:row>
      <xdr:rowOff>253037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791C6AFC-1AC5-4341-A66C-D847E2CA65B6}"/>
            </a:ext>
          </a:extLst>
        </xdr:cNvPr>
        <xdr:cNvSpPr/>
      </xdr:nvSpPr>
      <xdr:spPr>
        <a:xfrm>
          <a:off x="7051916" y="3128142"/>
          <a:ext cx="1478017" cy="304274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400"/>
            <a:t>N - r + c</a:t>
          </a:r>
          <a:endParaRPr lang="ko-KR" altLang="en-US" sz="24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136540</xdr:colOff>
      <xdr:row>0</xdr:row>
      <xdr:rowOff>209442</xdr:rowOff>
    </xdr:from>
    <xdr:to>
      <xdr:col>10</xdr:col>
      <xdr:colOff>396240</xdr:colOff>
      <xdr:row>15</xdr:row>
      <xdr:rowOff>152399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7EF00DE-7BB7-454A-8EBF-10EFF0D6CBF4}"/>
            </a:ext>
          </a:extLst>
        </xdr:cNvPr>
        <xdr:cNvSpPr txBox="1"/>
      </xdr:nvSpPr>
      <xdr:spPr>
        <a:xfrm>
          <a:off x="650890" y="209442"/>
          <a:ext cx="6260450" cy="32386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/>
            <a:t>[</a:t>
          </a:r>
          <a:r>
            <a:rPr lang="ko-KR" altLang="en-US" sz="1100" b="1"/>
            <a:t>문제 분석</a:t>
          </a:r>
          <a:r>
            <a:rPr lang="en-US" altLang="ko-KR" sz="1100" b="1"/>
            <a:t>]</a:t>
          </a:r>
        </a:p>
        <a:p>
          <a:r>
            <a:rPr lang="en-US" altLang="ko-KR" sz="1100"/>
            <a:t>1. </a:t>
          </a:r>
          <a:r>
            <a:rPr lang="ko-KR" altLang="en-US" sz="1100"/>
            <a:t>길이 </a:t>
          </a:r>
          <a:r>
            <a:rPr lang="en-US" altLang="ko-KR" sz="1100"/>
            <a:t>100</a:t>
          </a:r>
          <a:r>
            <a:rPr lang="ko-KR" altLang="en-US" sz="1100"/>
            <a:t>만의 배열에 </a:t>
          </a:r>
          <a:r>
            <a:rPr lang="en-US" altLang="ko-KR" sz="1100"/>
            <a:t>± 100</a:t>
          </a:r>
          <a:r>
            <a:rPr lang="ko-KR" altLang="en-US" sz="1100"/>
            <a:t>만 범위의 값들이 있으므로 구간의 합은 </a:t>
          </a:r>
          <a:r>
            <a:rPr lang="en-US" altLang="ko-KR" sz="1100"/>
            <a:t>int</a:t>
          </a:r>
          <a:r>
            <a:rPr lang="ko-KR" altLang="en-US" sz="1100"/>
            <a:t>범위를 초과할 수 있다</a:t>
          </a:r>
          <a:r>
            <a:rPr lang="en-US" altLang="ko-KR" sz="1100"/>
            <a:t>.</a:t>
          </a:r>
        </a:p>
        <a:p>
          <a:r>
            <a:rPr lang="ko-KR" altLang="en-US" sz="1100"/>
            <a:t>    따라서 합을 저장하기</a:t>
          </a:r>
          <a:r>
            <a:rPr lang="ko-KR" altLang="en-US" sz="1100" baseline="0"/>
            <a:t> 위한 변수는 </a:t>
          </a:r>
          <a:r>
            <a:rPr lang="en-US" altLang="ko-KR" sz="1100" b="1">
              <a:solidFill>
                <a:srgbClr val="FF0000"/>
              </a:solidFill>
            </a:rPr>
            <a:t>long</a:t>
          </a:r>
          <a:r>
            <a:rPr lang="en-US" altLang="ko-KR" sz="1100" b="1" baseline="0">
              <a:solidFill>
                <a:srgbClr val="FF0000"/>
              </a:solidFill>
            </a:rPr>
            <a:t> long </a:t>
          </a:r>
          <a:r>
            <a:rPr lang="ko-KR" altLang="en-US" sz="1100" baseline="0"/>
            <a:t>자료형이어야 한다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2. </a:t>
          </a:r>
          <a:r>
            <a:rPr lang="ko-KR" altLang="en-US" sz="1100" baseline="0"/>
            <a:t>길이 </a:t>
          </a:r>
          <a:r>
            <a:rPr lang="en-US" altLang="ko-KR" sz="1100" baseline="0"/>
            <a:t>100</a:t>
          </a:r>
          <a:r>
            <a:rPr lang="ko-KR" altLang="en-US" sz="1100" baseline="0"/>
            <a:t>만</a:t>
          </a:r>
          <a:r>
            <a:rPr lang="en-US" altLang="ko-KR" sz="1100" baseline="0"/>
            <a:t>, </a:t>
          </a:r>
          <a:r>
            <a:rPr lang="ko-KR" altLang="en-US" sz="1100" baseline="0"/>
            <a:t>쿼리 수 </a:t>
          </a:r>
          <a:r>
            <a:rPr lang="en-US" altLang="ko-KR" sz="1100" baseline="0"/>
            <a:t>100</a:t>
          </a:r>
          <a:r>
            <a:rPr lang="ko-KR" altLang="en-US" sz="1100" baseline="0"/>
            <a:t>만이므로 매 쿼리당 단순한 선형 탐색</a:t>
          </a:r>
          <a:r>
            <a:rPr lang="en-US" altLang="ko-KR" sz="1100" baseline="0"/>
            <a:t>(linear search)</a:t>
          </a:r>
          <a:r>
            <a:rPr lang="ko-KR" altLang="en-US" sz="1100" baseline="0"/>
            <a:t>으로</a:t>
          </a:r>
          <a:br>
            <a:rPr lang="en-US" altLang="ko-KR" sz="1100" baseline="0"/>
          </a:br>
          <a:r>
            <a:rPr lang="en-US" altLang="ko-KR" sz="1100" baseline="0"/>
            <a:t>    </a:t>
          </a:r>
          <a:r>
            <a:rPr lang="ko-KR" altLang="en-US" sz="1100" baseline="0"/>
            <a:t>답을 구하는 경우 전체 시간복잡도는 </a:t>
          </a:r>
          <a:r>
            <a:rPr lang="en-US" altLang="ko-KR" sz="1100" baseline="0"/>
            <a:t>O( N * Q = 100</a:t>
          </a:r>
          <a:r>
            <a:rPr lang="ko-KR" altLang="en-US" sz="1100" baseline="0"/>
            <a:t>만 </a:t>
          </a:r>
          <a:r>
            <a:rPr lang="en-US" altLang="ko-KR" sz="1100" baseline="0"/>
            <a:t>* 100</a:t>
          </a:r>
          <a:r>
            <a:rPr lang="ko-KR" altLang="en-US" sz="1100" baseline="0"/>
            <a:t>만</a:t>
          </a:r>
          <a:r>
            <a:rPr lang="en-US" altLang="ko-KR" sz="1100" baseline="0"/>
            <a:t>)</a:t>
          </a:r>
          <a:r>
            <a:rPr lang="ko-KR" altLang="en-US" sz="1100" baseline="0"/>
            <a:t>으로 </a:t>
          </a:r>
          <a:r>
            <a:rPr lang="en-US" altLang="ko-KR" sz="1100" baseline="0"/>
            <a:t>TLE(</a:t>
          </a:r>
          <a:r>
            <a:rPr lang="ko-KR" altLang="en-US" sz="1100" baseline="0"/>
            <a:t>시간초과</a:t>
          </a:r>
          <a:r>
            <a:rPr lang="en-US" altLang="ko-KR" sz="1100" baseline="0"/>
            <a:t>)</a:t>
          </a:r>
          <a:r>
            <a:rPr lang="ko-KR" altLang="en-US" sz="1100" baseline="0"/>
            <a:t>가 예상된다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    </a:t>
          </a:r>
          <a:r>
            <a:rPr lang="ko-KR" altLang="en-US" sz="1100" baseline="0"/>
            <a:t>효율적인 탐색을 위하여 </a:t>
          </a:r>
          <a:r>
            <a:rPr lang="ko-KR" altLang="en-US" sz="1100" b="1" baseline="0">
              <a:solidFill>
                <a:srgbClr val="FF0000"/>
              </a:solidFill>
            </a:rPr>
            <a:t>탐색공간을 축소</a:t>
          </a:r>
          <a:r>
            <a:rPr lang="ko-KR" altLang="en-US" sz="1100" baseline="0"/>
            <a:t>해야 한다</a:t>
          </a:r>
          <a:r>
            <a:rPr lang="en-US" altLang="ko-KR" sz="1100" baseline="0"/>
            <a:t>.</a:t>
          </a:r>
        </a:p>
        <a:p>
          <a:endParaRPr lang="en-US" altLang="ko-KR" sz="1100" baseline="0"/>
        </a:p>
        <a:p>
          <a:r>
            <a:rPr lang="en-US" altLang="ko-KR" sz="1100" baseline="0"/>
            <a:t>    </a:t>
          </a:r>
          <a:r>
            <a:rPr lang="ko-KR" altLang="en-US" sz="1100" baseline="0"/>
            <a:t>어떻게 할 수 있을까</a:t>
          </a:r>
          <a:r>
            <a:rPr lang="en-US" altLang="ko-KR" sz="1100" baseline="0"/>
            <a:t>?</a:t>
          </a:r>
          <a:endParaRPr lang="en-US" altLang="ko-KR" sz="1100"/>
        </a:p>
        <a:p>
          <a:endParaRPr lang="en-US" altLang="ko-KR" sz="1100"/>
        </a:p>
        <a:p>
          <a:r>
            <a:rPr lang="en-US" altLang="ko-KR" sz="1100" b="1"/>
            <a:t>[</a:t>
          </a:r>
          <a:r>
            <a:rPr lang="ko-KR" altLang="en-US" sz="1100" b="1"/>
            <a:t>해결 전략</a:t>
          </a:r>
          <a:r>
            <a:rPr lang="en-US" altLang="ko-KR" sz="1100" b="1"/>
            <a:t>]</a:t>
          </a:r>
        </a:p>
        <a:p>
          <a:r>
            <a:rPr lang="ko-KR" altLang="en-US" sz="1100"/>
            <a:t>아래 그림과 같은 </a:t>
          </a:r>
          <a:r>
            <a:rPr lang="ko-KR" altLang="en-US" sz="1100" b="1">
              <a:solidFill>
                <a:srgbClr val="FF0000"/>
              </a:solidFill>
            </a:rPr>
            <a:t>누적합</a:t>
          </a:r>
          <a:r>
            <a:rPr lang="en-US" altLang="ko-KR" sz="1100" b="1">
              <a:solidFill>
                <a:srgbClr val="FF0000"/>
              </a:solidFill>
            </a:rPr>
            <a:t>(PrefixSum)</a:t>
          </a:r>
          <a:r>
            <a:rPr lang="ko-KR" altLang="en-US" sz="1100"/>
            <a:t>전략을 사용할 수 있다</a:t>
          </a:r>
          <a:r>
            <a:rPr lang="en-US" altLang="ko-KR" sz="1100"/>
            <a:t>.</a:t>
          </a:r>
        </a:p>
        <a:p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전체 시간복잡도는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O( N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+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Q = 100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만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+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100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만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로 곱셈을 덧셈으로 바꾸는 </a:t>
          </a:r>
          <a:endParaRPr lang="en-US" altLang="ko-K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/>
            <a:t>마법</a:t>
          </a:r>
          <a:r>
            <a:rPr lang="en-US" altLang="ko-KR" sz="1100"/>
            <a:t>(^^)</a:t>
          </a:r>
          <a:r>
            <a:rPr lang="ko-KR" altLang="en-US" sz="1100"/>
            <a:t>을 부릴수 있다</a:t>
          </a:r>
          <a:r>
            <a:rPr lang="en-US" altLang="ko-KR" sz="1100"/>
            <a:t>.</a:t>
          </a:r>
        </a:p>
      </xdr:txBody>
    </xdr:sp>
    <xdr:clientData/>
  </xdr:twoCellAnchor>
  <xdr:twoCellAnchor>
    <xdr:from>
      <xdr:col>3</xdr:col>
      <xdr:colOff>39013</xdr:colOff>
      <xdr:row>17</xdr:row>
      <xdr:rowOff>130765</xdr:rowOff>
    </xdr:from>
    <xdr:to>
      <xdr:col>8</xdr:col>
      <xdr:colOff>77655</xdr:colOff>
      <xdr:row>19</xdr:row>
      <xdr:rowOff>80818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7AA975C-86E1-4CB7-A663-2C4A946B5565}"/>
            </a:ext>
          </a:extLst>
        </xdr:cNvPr>
        <xdr:cNvSpPr/>
      </xdr:nvSpPr>
      <xdr:spPr>
        <a:xfrm>
          <a:off x="1890673" y="1022305"/>
          <a:ext cx="3391442" cy="39201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87114</xdr:colOff>
      <xdr:row>18</xdr:row>
      <xdr:rowOff>377</xdr:rowOff>
    </xdr:from>
    <xdr:to>
      <xdr:col>4</xdr:col>
      <xdr:colOff>636984</xdr:colOff>
      <xdr:row>19</xdr:row>
      <xdr:rowOff>16277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46685FBD-C3FE-4CC0-9AF8-ADCD217088BD}"/>
            </a:ext>
          </a:extLst>
        </xdr:cNvPr>
        <xdr:cNvSpPr/>
      </xdr:nvSpPr>
      <xdr:spPr>
        <a:xfrm>
          <a:off x="2260005" y="3971111"/>
          <a:ext cx="1216620" cy="236166"/>
        </a:xfrm>
        <a:prstGeom prst="rect">
          <a:avLst/>
        </a:prstGeom>
        <a:noFill/>
        <a:ln w="28575"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206388</xdr:colOff>
      <xdr:row>23</xdr:row>
      <xdr:rowOff>209494</xdr:rowOff>
    </xdr:from>
    <xdr:to>
      <xdr:col>12</xdr:col>
      <xdr:colOff>137068</xdr:colOff>
      <xdr:row>37</xdr:row>
      <xdr:rowOff>170793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6D640D0-BE1A-4DE0-A1F8-25043A944A2E}"/>
            </a:ext>
          </a:extLst>
        </xdr:cNvPr>
        <xdr:cNvSpPr txBox="1"/>
      </xdr:nvSpPr>
      <xdr:spPr>
        <a:xfrm>
          <a:off x="1047216" y="5208477"/>
          <a:ext cx="7301059" cy="2996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>
              <a:latin typeface="D2Coding" panose="020B0609020101020101" pitchFamily="49" charset="-127"/>
              <a:ea typeface="D2Coding" panose="020B0609020101020101" pitchFamily="49" charset="-127"/>
            </a:rPr>
            <a:t>[</a:t>
          </a:r>
          <a:r>
            <a:rPr lang="ko-KR" altLang="en-US" sz="1100" b="1">
              <a:latin typeface="D2Coding" panose="020B0609020101020101" pitchFamily="49" charset="-127"/>
              <a:ea typeface="D2Coding" panose="020B0609020101020101" pitchFamily="49" charset="-127"/>
            </a:rPr>
            <a:t>문제 해결 </a:t>
          </a:r>
          <a:r>
            <a:rPr lang="en-US" altLang="ko-KR" sz="1100" b="1">
              <a:latin typeface="D2Coding" panose="020B0609020101020101" pitchFamily="49" charset="-127"/>
              <a:ea typeface="D2Coding" panose="020B0609020101020101" pitchFamily="49" charset="-127"/>
            </a:rPr>
            <a:t>process]</a:t>
          </a:r>
        </a:p>
        <a:p>
          <a:endParaRPr lang="en-US" altLang="ko-KR" sz="1100" b="1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1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차원 구간합은 </a:t>
          </a:r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1. prefixSum[]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을 전처리하여 구해 놓는다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. O(N)</a:t>
          </a:r>
        </a:p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</a:t>
          </a:r>
          <a:r>
            <a:rPr lang="en-US" altLang="ko-KR" sz="110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prefixSum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[i] = sum(A[1]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~ A[i])</a:t>
          </a: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  </a:t>
          </a:r>
          <a:r>
            <a:rPr lang="en-US" altLang="ko-KR" sz="1100" baseline="0">
              <a:solidFill>
                <a:schemeClr val="accent5"/>
              </a:solidFill>
              <a:latin typeface="D2Coding" panose="020B0609020101020101" pitchFamily="49" charset="-127"/>
              <a:ea typeface="D2Coding" panose="020B0609020101020101" pitchFamily="49" charset="-127"/>
            </a:rPr>
            <a:t>&lt;code example&gt;</a:t>
          </a:r>
        </a:p>
        <a:p>
          <a:r>
            <a:rPr lang="en-US" altLang="ko-KR" sz="1100">
              <a:solidFill>
                <a:schemeClr val="accent5"/>
              </a:solidFill>
              <a:latin typeface="D2Coding" panose="020B0609020101020101" pitchFamily="49" charset="-127"/>
              <a:ea typeface="D2Coding" panose="020B0609020101020101" pitchFamily="49" charset="-127"/>
            </a:rPr>
            <a:t>   for(int i=1;i&lt;=N;++i) </a:t>
          </a:r>
          <a:r>
            <a:rPr lang="en-US" altLang="ko-KR" sz="1100">
              <a:solidFill>
                <a:schemeClr val="accent5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prefixSum</a:t>
          </a:r>
          <a:r>
            <a:rPr lang="en-US" altLang="ko-KR" sz="1100">
              <a:solidFill>
                <a:schemeClr val="accent5"/>
              </a:solidFill>
              <a:latin typeface="D2Coding" panose="020B0609020101020101" pitchFamily="49" charset="-127"/>
              <a:ea typeface="D2Coding" panose="020B0609020101020101" pitchFamily="49" charset="-127"/>
            </a:rPr>
            <a:t>[i] = </a:t>
          </a:r>
          <a:r>
            <a:rPr lang="en-US" altLang="ko-KR" sz="1100">
              <a:solidFill>
                <a:schemeClr val="accent5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prefixSum</a:t>
          </a:r>
          <a:r>
            <a:rPr lang="en-US" altLang="ko-KR" sz="1100">
              <a:solidFill>
                <a:schemeClr val="accent5"/>
              </a:solidFill>
              <a:latin typeface="D2Coding" panose="020B0609020101020101" pitchFamily="49" charset="-127"/>
              <a:ea typeface="D2Coding" panose="020B0609020101020101" pitchFamily="49" charset="-127"/>
            </a:rPr>
            <a:t>[i - 1] + A[i]</a:t>
          </a:r>
        </a:p>
        <a:p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2.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부분합 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subSum(s, e) 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쿼리에 대한 답은 </a:t>
          </a:r>
          <a:r>
            <a:rPr lang="en-US" altLang="ko-KR" sz="1100" baseline="0">
              <a:solidFill>
                <a:schemeClr val="accent5"/>
              </a:solidFill>
              <a:latin typeface="D2Coding" panose="020B0609020101020101" pitchFamily="49" charset="-127"/>
              <a:ea typeface="D2Coding" panose="020B0609020101020101" pitchFamily="49" charset="-127"/>
            </a:rPr>
            <a:t>prefixSum[e] - prefixSum[s - 1]</a:t>
          </a: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3. </a:t>
          </a:r>
          <a:r>
            <a:rPr lang="en-US" altLang="ko-KR" sz="110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prefixSum[] </a:t>
          </a:r>
          <a:r>
            <a:rPr lang="ko-KR" altLang="en-US" sz="110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값의 범위가 </a:t>
          </a:r>
          <a:r>
            <a:rPr lang="en-US" altLang="ko-KR" sz="1100" b="1" u="sng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long</a:t>
          </a:r>
          <a:r>
            <a:rPr lang="en-US" altLang="ko-KR" sz="1100" b="1" u="sng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long</a:t>
          </a:r>
          <a:r>
            <a:rPr lang="ko-KR" altLang="en-US" sz="1100" b="1" u="sng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임에 유의</a:t>
          </a:r>
          <a:r>
            <a:rPr lang="ko-KR" altLang="en-US" sz="1100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한다</a:t>
          </a:r>
          <a:r>
            <a:rPr lang="en-US" altLang="ko-KR" sz="1100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long long </a:t>
          </a:r>
          <a:r>
            <a:rPr lang="ko-KR" altLang="en-US" sz="1100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입출력 서식문자는 </a:t>
          </a:r>
          <a:r>
            <a:rPr lang="en-US" altLang="ko-KR" sz="1100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%lld </a:t>
          </a:r>
          <a:r>
            <a:rPr lang="ko-KR" altLang="en-US" sz="1100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이다</a:t>
          </a:r>
          <a:r>
            <a:rPr lang="en-US" altLang="ko-KR" sz="1100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latin typeface="D2Coding" panose="020B0609020101020101" pitchFamily="49" charset="-127"/>
            <a:ea typeface="D2Coding" panose="020B0609020101020101" pitchFamily="49" charset="-127"/>
          </a:endParaRPr>
        </a:p>
      </xdr:txBody>
    </xdr:sp>
    <xdr:clientData/>
  </xdr:twoCellAnchor>
  <xdr:twoCellAnchor>
    <xdr:from>
      <xdr:col>4</xdr:col>
      <xdr:colOff>660796</xdr:colOff>
      <xdr:row>18</xdr:row>
      <xdr:rowOff>2395</xdr:rowOff>
    </xdr:from>
    <xdr:to>
      <xdr:col>8</xdr:col>
      <xdr:colOff>20715</xdr:colOff>
      <xdr:row>19</xdr:row>
      <xdr:rowOff>20408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9DD8DBC6-3999-4E0C-A1D2-7E3E120E2C30}"/>
            </a:ext>
          </a:extLst>
        </xdr:cNvPr>
        <xdr:cNvSpPr/>
      </xdr:nvSpPr>
      <xdr:spPr>
        <a:xfrm>
          <a:off x="3500437" y="3973129"/>
          <a:ext cx="2026919" cy="238279"/>
        </a:xfrm>
        <a:prstGeom prst="rect">
          <a:avLst/>
        </a:prstGeom>
        <a:noFill/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11741</xdr:colOff>
      <xdr:row>32</xdr:row>
      <xdr:rowOff>161925</xdr:rowOff>
    </xdr:from>
    <xdr:to>
      <xdr:col>6</xdr:col>
      <xdr:colOff>38100</xdr:colOff>
      <xdr:row>36</xdr:row>
      <xdr:rowOff>47624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9627D4A-B3AF-47B6-AC8D-C13E4891D794}"/>
            </a:ext>
          </a:extLst>
        </xdr:cNvPr>
        <xdr:cNvSpPr/>
      </xdr:nvSpPr>
      <xdr:spPr>
        <a:xfrm>
          <a:off x="1208081" y="1053465"/>
          <a:ext cx="1055059" cy="769619"/>
        </a:xfrm>
        <a:prstGeom prst="rect">
          <a:avLst/>
        </a:prstGeom>
        <a:noFill/>
        <a:ln w="28575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6920</xdr:colOff>
      <xdr:row>32</xdr:row>
      <xdr:rowOff>200026</xdr:rowOff>
    </xdr:from>
    <xdr:to>
      <xdr:col>5</xdr:col>
      <xdr:colOff>338301</xdr:colOff>
      <xdr:row>34</xdr:row>
      <xdr:rowOff>197070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FF2A3DDA-1255-48E3-82DC-040838F7545A}"/>
            </a:ext>
          </a:extLst>
        </xdr:cNvPr>
        <xdr:cNvSpPr/>
      </xdr:nvSpPr>
      <xdr:spPr>
        <a:xfrm>
          <a:off x="1203260" y="1091566"/>
          <a:ext cx="1017181" cy="43900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26088</xdr:colOff>
      <xdr:row>33</xdr:row>
      <xdr:rowOff>31606</xdr:rowOff>
    </xdr:from>
    <xdr:to>
      <xdr:col>5</xdr:col>
      <xdr:colOff>0</xdr:colOff>
      <xdr:row>36</xdr:row>
      <xdr:rowOff>35092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49D3DC87-1F91-4518-873B-38E73023515A}"/>
            </a:ext>
          </a:extLst>
        </xdr:cNvPr>
        <xdr:cNvSpPr/>
      </xdr:nvSpPr>
      <xdr:spPr>
        <a:xfrm>
          <a:off x="1222428" y="1144126"/>
          <a:ext cx="659712" cy="666426"/>
        </a:xfrm>
        <a:prstGeom prst="rect">
          <a:avLst/>
        </a:prstGeom>
        <a:noFill/>
        <a:ln w="28575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65282</xdr:colOff>
      <xdr:row>33</xdr:row>
      <xdr:rowOff>19050</xdr:rowOff>
    </xdr:from>
    <xdr:to>
      <xdr:col>4</xdr:col>
      <xdr:colOff>340392</xdr:colOff>
      <xdr:row>34</xdr:row>
      <xdr:rowOff>164224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59FA5D14-F25C-4EFE-9281-08863A0BD906}"/>
            </a:ext>
          </a:extLst>
        </xdr:cNvPr>
        <xdr:cNvSpPr/>
      </xdr:nvSpPr>
      <xdr:spPr>
        <a:xfrm>
          <a:off x="1261622" y="1131570"/>
          <a:ext cx="618010" cy="366154"/>
        </a:xfrm>
        <a:prstGeom prst="rect">
          <a:avLst/>
        </a:pr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98018</xdr:colOff>
      <xdr:row>39</xdr:row>
      <xdr:rowOff>46677</xdr:rowOff>
    </xdr:from>
    <xdr:to>
      <xdr:col>19</xdr:col>
      <xdr:colOff>78441</xdr:colOff>
      <xdr:row>44</xdr:row>
      <xdr:rowOff>174026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ACA41F7-5341-4A3E-A5C4-4EFA96B5A46F}"/>
            </a:ext>
          </a:extLst>
        </xdr:cNvPr>
        <xdr:cNvSpPr txBox="1"/>
      </xdr:nvSpPr>
      <xdr:spPr>
        <a:xfrm>
          <a:off x="613489" y="8787265"/>
          <a:ext cx="6233305" cy="12479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한번의 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2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차원 배열 탐색으로  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2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차원 누적합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(prefixSum)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을 구할 수 있다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 </a:t>
          </a:r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S[i][j]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를 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A[1][1] ~ A[i][j]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의 구간합으로 정의하면 다음 식으로 누적합을 구할 수 있다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r>
            <a:rPr lang="en-US" altLang="ko-KR" sz="1400" b="1">
              <a:solidFill>
                <a:schemeClr val="accent2"/>
              </a:solidFill>
              <a:latin typeface="D2Coding" panose="020B0609020101020101" pitchFamily="49" charset="-127"/>
              <a:ea typeface="D2Coding" panose="020B0609020101020101" pitchFamily="49" charset="-127"/>
            </a:rPr>
            <a:t>S[i][j] </a:t>
          </a:r>
          <a:r>
            <a:rPr lang="en-US" altLang="ko-KR" sz="1400">
              <a:latin typeface="D2Coding" panose="020B0609020101020101" pitchFamily="49" charset="-127"/>
              <a:ea typeface="D2Coding" panose="020B0609020101020101" pitchFamily="49" charset="-127"/>
            </a:rPr>
            <a:t>= </a:t>
          </a:r>
          <a:r>
            <a:rPr lang="en-US" altLang="ko-KR" sz="1400" b="1">
              <a:solidFill>
                <a:schemeClr val="accent6">
                  <a:lumMod val="75000"/>
                </a:schemeClr>
              </a:solidFill>
              <a:latin typeface="D2Coding" panose="020B0609020101020101" pitchFamily="49" charset="-127"/>
              <a:ea typeface="D2Coding" panose="020B0609020101020101" pitchFamily="49" charset="-127"/>
            </a:rPr>
            <a:t>S[i][j-1] </a:t>
          </a:r>
          <a:r>
            <a:rPr lang="en-US" altLang="ko-KR" sz="1400">
              <a:latin typeface="D2Coding" panose="020B0609020101020101" pitchFamily="49" charset="-127"/>
              <a:ea typeface="D2Coding" panose="020B0609020101020101" pitchFamily="49" charset="-127"/>
            </a:rPr>
            <a:t>+ </a:t>
          </a:r>
          <a:r>
            <a:rPr lang="en-US" altLang="ko-KR" sz="1400" b="1">
              <a:solidFill>
                <a:srgbClr val="FF0000"/>
              </a:solidFill>
              <a:latin typeface="D2Coding" panose="020B0609020101020101" pitchFamily="49" charset="-127"/>
              <a:ea typeface="D2Coding" panose="020B0609020101020101" pitchFamily="49" charset="-127"/>
            </a:rPr>
            <a:t>S[i-1][j] </a:t>
          </a:r>
          <a:r>
            <a:rPr lang="en-US" altLang="ko-KR" sz="1400">
              <a:latin typeface="D2Coding" panose="020B0609020101020101" pitchFamily="49" charset="-127"/>
              <a:ea typeface="D2Coding" panose="020B0609020101020101" pitchFamily="49" charset="-127"/>
            </a:rPr>
            <a:t>- </a:t>
          </a:r>
          <a:r>
            <a:rPr lang="en-US" altLang="ko-KR" sz="1400" b="1">
              <a:solidFill>
                <a:srgbClr val="00B0F0"/>
              </a:solidFill>
              <a:latin typeface="D2Coding" panose="020B0609020101020101" pitchFamily="49" charset="-127"/>
              <a:ea typeface="D2Coding" panose="020B0609020101020101" pitchFamily="49" charset="-127"/>
            </a:rPr>
            <a:t>S[i-1][j-1] </a:t>
          </a:r>
          <a:r>
            <a:rPr lang="en-US" altLang="ko-KR" sz="1400" b="1" baseline="0">
              <a:solidFill>
                <a:srgbClr val="00B0F0"/>
              </a:solidFill>
              <a:latin typeface="D2Coding" panose="020B0609020101020101" pitchFamily="49" charset="-127"/>
              <a:ea typeface="D2Coding" panose="020B0609020101020101" pitchFamily="49" charset="-127"/>
            </a:rPr>
            <a:t> </a:t>
          </a:r>
          <a:r>
            <a:rPr lang="en-US" altLang="ko-KR" sz="1400" baseline="0">
              <a:latin typeface="D2Coding" panose="020B0609020101020101" pitchFamily="49" charset="-127"/>
              <a:ea typeface="D2Coding" panose="020B0609020101020101" pitchFamily="49" charset="-127"/>
            </a:rPr>
            <a:t>+ </a:t>
          </a:r>
          <a:r>
            <a:rPr lang="en-US" altLang="ko-KR" sz="1400" b="1" baseline="0">
              <a:latin typeface="D2Coding" panose="020B0609020101020101" pitchFamily="49" charset="-127"/>
              <a:ea typeface="D2Coding" panose="020B0609020101020101" pitchFamily="49" charset="-127"/>
            </a:rPr>
            <a:t>A[i][j];</a:t>
          </a:r>
        </a:p>
        <a:p>
          <a:r>
            <a:rPr lang="ko-KR" altLang="en-US" sz="1100" b="1" baseline="0">
              <a:latin typeface="D2Coding" panose="020B0609020101020101" pitchFamily="49" charset="-127"/>
              <a:ea typeface="D2Coding" panose="020B0609020101020101" pitchFamily="49" charset="-127"/>
            </a:rPr>
            <a:t>시간복잡도 </a:t>
          </a:r>
          <a:r>
            <a:rPr lang="en-US" altLang="ko-KR" sz="1100" b="1" baseline="0">
              <a:latin typeface="D2Coding" panose="020B0609020101020101" pitchFamily="49" charset="-127"/>
              <a:ea typeface="D2Coding" panose="020B0609020101020101" pitchFamily="49" charset="-127"/>
            </a:rPr>
            <a:t>O(N * N = 100</a:t>
          </a:r>
          <a:r>
            <a:rPr lang="ko-KR" altLang="en-US" sz="1100" b="1" baseline="0">
              <a:latin typeface="D2Coding" panose="020B0609020101020101" pitchFamily="49" charset="-127"/>
              <a:ea typeface="D2Coding" panose="020B0609020101020101" pitchFamily="49" charset="-127"/>
            </a:rPr>
            <a:t>만</a:t>
          </a:r>
          <a:r>
            <a:rPr lang="en-US" altLang="ko-KR" sz="1100" b="1" baseline="0">
              <a:latin typeface="D2Coding" panose="020B0609020101020101" pitchFamily="49" charset="-127"/>
              <a:ea typeface="D2Coding" panose="020B0609020101020101" pitchFamily="49" charset="-127"/>
            </a:rPr>
            <a:t>)</a:t>
          </a:r>
          <a:endParaRPr lang="ko-KR" altLang="en-US" sz="1100" b="1">
            <a:latin typeface="D2Coding" panose="020B0609020101020101" pitchFamily="49" charset="-127"/>
            <a:ea typeface="D2Coding" panose="020B0609020101020101" pitchFamily="49" charset="-127"/>
          </a:endParaRPr>
        </a:p>
      </xdr:txBody>
    </xdr:sp>
    <xdr:clientData/>
  </xdr:twoCellAnchor>
  <xdr:twoCellAnchor>
    <xdr:from>
      <xdr:col>23</xdr:col>
      <xdr:colOff>20965</xdr:colOff>
      <xdr:row>27</xdr:row>
      <xdr:rowOff>172732</xdr:rowOff>
    </xdr:from>
    <xdr:to>
      <xdr:col>38</xdr:col>
      <xdr:colOff>201930</xdr:colOff>
      <xdr:row>32</xdr:row>
      <xdr:rowOff>200024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00AE771-4868-4153-9D83-ED8A4DFF657C}"/>
            </a:ext>
          </a:extLst>
        </xdr:cNvPr>
        <xdr:cNvSpPr txBox="1"/>
      </xdr:nvSpPr>
      <xdr:spPr>
        <a:xfrm>
          <a:off x="878215" y="12450457"/>
          <a:ext cx="5324465" cy="11226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이제 </a:t>
          </a:r>
          <a:r>
            <a:rPr lang="en-US" altLang="ko-KR" sz="1100"/>
            <a:t>2</a:t>
          </a:r>
          <a:r>
            <a:rPr lang="ko-KR" altLang="en-US" sz="1100"/>
            <a:t>차원</a:t>
          </a:r>
          <a:r>
            <a:rPr lang="en-US" altLang="ko-KR" sz="1100"/>
            <a:t> </a:t>
          </a:r>
          <a:r>
            <a:rPr lang="ko-KR" altLang="en-US" sz="1100"/>
            <a:t>배열 </a:t>
          </a:r>
          <a:r>
            <a:rPr lang="en-US" altLang="ko-KR" sz="1100"/>
            <a:t>A</a:t>
          </a:r>
          <a:r>
            <a:rPr lang="ko-KR" altLang="en-US" sz="1100"/>
            <a:t>에서 </a:t>
          </a:r>
          <a:r>
            <a:rPr lang="en-US" altLang="ko-KR" sz="1100"/>
            <a:t>A[sr][</a:t>
          </a:r>
          <a:r>
            <a:rPr lang="en-US" altLang="ko-KR" sz="1100" baseline="0"/>
            <a:t>sc] ~ A[er][ec] </a:t>
          </a:r>
          <a:r>
            <a:rPr lang="ko-KR" altLang="en-US" sz="1100" baseline="0"/>
            <a:t>부분합을 구하는 </a:t>
          </a:r>
          <a:endParaRPr lang="en-US" altLang="ko-KR" sz="1100" baseline="0"/>
        </a:p>
        <a:p>
          <a:r>
            <a:rPr lang="ko-KR" altLang="en-US" sz="1100" baseline="0"/>
            <a:t>쿼리에 대한 답은 </a:t>
          </a:r>
          <a:r>
            <a:rPr lang="ko-KR" alt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다음과 같이 구할 수 있다</a:t>
          </a:r>
          <a:r>
            <a:rPr lang="en-US" altLang="ko-K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</a:p>
        <a:p>
          <a:r>
            <a:rPr lang="en-US" altLang="ko-KR" sz="1100" b="1" baseline="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rPr>
            <a:t>ans</a:t>
          </a:r>
          <a:r>
            <a:rPr lang="en-US" altLang="ko-K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= </a:t>
          </a:r>
          <a:r>
            <a:rPr lang="en-US" altLang="ko-KR" sz="1100" b="1" baseline="0">
              <a:solidFill>
                <a:srgbClr val="00B0F0"/>
              </a:solidFill>
              <a:latin typeface="+mn-lt"/>
              <a:ea typeface="+mn-ea"/>
              <a:cs typeface="+mn-cs"/>
            </a:rPr>
            <a:t>S[er][ec] </a:t>
          </a:r>
          <a:r>
            <a:rPr lang="en-US" altLang="ko-K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- </a:t>
          </a:r>
          <a:r>
            <a:rPr lang="en-US" altLang="ko-KR" sz="1100" b="1" baseline="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S[er][sc-1] </a:t>
          </a:r>
          <a:r>
            <a:rPr lang="en-US" altLang="ko-K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- </a:t>
          </a:r>
          <a:r>
            <a:rPr lang="en-US" altLang="ko-KR" sz="1100" b="1" baseline="0">
              <a:solidFill>
                <a:srgbClr val="FF0000"/>
              </a:solidFill>
              <a:latin typeface="+mn-lt"/>
              <a:ea typeface="+mn-ea"/>
              <a:cs typeface="+mn-cs"/>
            </a:rPr>
            <a:t>S[sr-1][ec] </a:t>
          </a:r>
          <a:r>
            <a:rPr lang="en-US" altLang="ko-K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+ </a:t>
          </a:r>
          <a:r>
            <a:rPr lang="en-US" altLang="ko-KR" sz="1100" b="1" baseline="0">
              <a:solidFill>
                <a:srgbClr val="EA34E1"/>
              </a:solidFill>
              <a:latin typeface="+mn-lt"/>
              <a:ea typeface="+mn-ea"/>
              <a:cs typeface="+mn-cs"/>
            </a:rPr>
            <a:t>S[sr-1][sc-1]</a:t>
          </a:r>
          <a:endParaRPr lang="ko-KR" altLang="en-US" sz="1100" b="1" baseline="0">
            <a:solidFill>
              <a:srgbClr val="EA34E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3122</xdr:colOff>
      <xdr:row>20</xdr:row>
      <xdr:rowOff>136073</xdr:rowOff>
    </xdr:from>
    <xdr:to>
      <xdr:col>29</xdr:col>
      <xdr:colOff>50799</xdr:colOff>
      <xdr:row>26</xdr:row>
      <xdr:rowOff>57151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16788FB0-5CE1-4D93-8EEE-C1273848C958}"/>
            </a:ext>
          </a:extLst>
        </xdr:cNvPr>
        <xdr:cNvSpPr/>
      </xdr:nvSpPr>
      <xdr:spPr>
        <a:xfrm>
          <a:off x="1199462" y="5226233"/>
          <a:ext cx="1762177" cy="1246958"/>
        </a:xfrm>
        <a:prstGeom prst="rect">
          <a:avLst/>
        </a:pr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15801</xdr:colOff>
      <xdr:row>20</xdr:row>
      <xdr:rowOff>185140</xdr:rowOff>
    </xdr:from>
    <xdr:to>
      <xdr:col>28</xdr:col>
      <xdr:colOff>313824</xdr:colOff>
      <xdr:row>22</xdr:row>
      <xdr:rowOff>191789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6F5AC689-D73D-4A12-96CF-A2242E6FBB81}"/>
            </a:ext>
          </a:extLst>
        </xdr:cNvPr>
        <xdr:cNvSpPr/>
      </xdr:nvSpPr>
      <xdr:spPr>
        <a:xfrm>
          <a:off x="1212141" y="5275300"/>
          <a:ext cx="1669623" cy="44860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49913</xdr:colOff>
      <xdr:row>20</xdr:row>
      <xdr:rowOff>195013</xdr:rowOff>
    </xdr:from>
    <xdr:to>
      <xdr:col>25</xdr:col>
      <xdr:colOff>297781</xdr:colOff>
      <xdr:row>26</xdr:row>
      <xdr:rowOff>9525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43D170B3-4991-436C-A757-FF1E87C0CEF4}"/>
            </a:ext>
          </a:extLst>
        </xdr:cNvPr>
        <xdr:cNvSpPr/>
      </xdr:nvSpPr>
      <xdr:spPr>
        <a:xfrm>
          <a:off x="1246253" y="5285173"/>
          <a:ext cx="590768" cy="1140392"/>
        </a:xfrm>
        <a:prstGeom prst="rect">
          <a:avLst/>
        </a:prstGeom>
        <a:noFill/>
        <a:ln w="28575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71418</xdr:colOff>
      <xdr:row>21</xdr:row>
      <xdr:rowOff>16559</xdr:rowOff>
    </xdr:from>
    <xdr:to>
      <xdr:col>25</xdr:col>
      <xdr:colOff>284686</xdr:colOff>
      <xdr:row>22</xdr:row>
      <xdr:rowOff>180474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3A77FE56-5F72-40A3-9F9E-5D9457BD9E09}"/>
            </a:ext>
          </a:extLst>
        </xdr:cNvPr>
        <xdr:cNvSpPr/>
      </xdr:nvSpPr>
      <xdr:spPr>
        <a:xfrm>
          <a:off x="1267758" y="5327699"/>
          <a:ext cx="556168" cy="384895"/>
        </a:xfrm>
        <a:prstGeom prst="rect">
          <a:avLst/>
        </a:prstGeom>
        <a:noFill/>
        <a:ln w="28575">
          <a:solidFill>
            <a:srgbClr val="F622F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312420</xdr:colOff>
      <xdr:row>35</xdr:row>
      <xdr:rowOff>171450</xdr:rowOff>
    </xdr:from>
    <xdr:to>
      <xdr:col>14</xdr:col>
      <xdr:colOff>197069</xdr:colOff>
      <xdr:row>41</xdr:row>
      <xdr:rowOff>151086</xdr:rowOff>
    </xdr:to>
    <xdr:cxnSp macro="">
      <xdr:nvCxnSpPr>
        <xdr:cNvPr id="12" name="직선 화살표 연결선 11">
          <a:extLst>
            <a:ext uri="{FF2B5EF4-FFF2-40B4-BE49-F238E27FC236}">
              <a16:creationId xmlns:a16="http://schemas.microsoft.com/office/drawing/2014/main" id="{30002557-3CF9-4F7A-B850-951EE605E966}"/>
            </a:ext>
          </a:extLst>
        </xdr:cNvPr>
        <xdr:cNvCxnSpPr/>
      </xdr:nvCxnSpPr>
      <xdr:spPr>
        <a:xfrm flipH="1" flipV="1">
          <a:off x="2191144" y="7771743"/>
          <a:ext cx="2958925" cy="128029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329197</xdr:colOff>
      <xdr:row>20</xdr:row>
      <xdr:rowOff>38100</xdr:rowOff>
    </xdr:from>
    <xdr:to>
      <xdr:col>14</xdr:col>
      <xdr:colOff>324435</xdr:colOff>
      <xdr:row>20</xdr:row>
      <xdr:rowOff>179070</xdr:rowOff>
    </xdr:to>
    <xdr:sp macro="" textlink="">
      <xdr:nvSpPr>
        <xdr:cNvPr id="13" name="오른쪽 화살표 18">
          <a:extLst>
            <a:ext uri="{FF2B5EF4-FFF2-40B4-BE49-F238E27FC236}">
              <a16:creationId xmlns:a16="http://schemas.microsoft.com/office/drawing/2014/main" id="{73B1B4F8-B574-4050-84BD-04A20CC8DE70}"/>
            </a:ext>
          </a:extLst>
        </xdr:cNvPr>
        <xdr:cNvSpPr/>
      </xdr:nvSpPr>
      <xdr:spPr>
        <a:xfrm>
          <a:off x="3597005" y="4441581"/>
          <a:ext cx="1717065" cy="14097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128661</xdr:colOff>
      <xdr:row>20</xdr:row>
      <xdr:rowOff>71584</xdr:rowOff>
    </xdr:from>
    <xdr:to>
      <xdr:col>2</xdr:col>
      <xdr:colOff>273953</xdr:colOff>
      <xdr:row>26</xdr:row>
      <xdr:rowOff>46819</xdr:rowOff>
    </xdr:to>
    <xdr:sp macro="" textlink="">
      <xdr:nvSpPr>
        <xdr:cNvPr id="14" name="아래쪽 화살표 19">
          <a:extLst>
            <a:ext uri="{FF2B5EF4-FFF2-40B4-BE49-F238E27FC236}">
              <a16:creationId xmlns:a16="http://schemas.microsoft.com/office/drawing/2014/main" id="{2BACB401-BA93-4E01-8A6D-A25A4D1563D1}"/>
            </a:ext>
          </a:extLst>
        </xdr:cNvPr>
        <xdr:cNvSpPr/>
      </xdr:nvSpPr>
      <xdr:spPr>
        <a:xfrm>
          <a:off x="985911" y="4475065"/>
          <a:ext cx="145292" cy="129408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21</xdr:col>
      <xdr:colOff>9525</xdr:colOff>
      <xdr:row>15</xdr:row>
      <xdr:rowOff>129540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7FDA241-0A6D-471A-8D79-A412F30131FA}"/>
            </a:ext>
          </a:extLst>
        </xdr:cNvPr>
        <xdr:cNvSpPr txBox="1"/>
      </xdr:nvSpPr>
      <xdr:spPr>
        <a:xfrm>
          <a:off x="514350" y="228600"/>
          <a:ext cx="6867525" cy="31965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/>
            <a:t>[</a:t>
          </a:r>
          <a:r>
            <a:rPr lang="ko-KR" altLang="en-US" sz="1100" b="1"/>
            <a:t>문제 분석</a:t>
          </a:r>
          <a:r>
            <a:rPr lang="en-US" altLang="ko-KR" sz="1100" b="1"/>
            <a:t>]</a:t>
          </a:r>
        </a:p>
        <a:p>
          <a:r>
            <a:rPr lang="en-US" altLang="ko-KR" sz="1100"/>
            <a:t>1. </a:t>
          </a:r>
          <a:r>
            <a:rPr lang="ko-KR" altLang="en-US" sz="1100"/>
            <a:t>크기 </a:t>
          </a:r>
          <a:r>
            <a:rPr lang="en-US" altLang="ko-KR" sz="1100"/>
            <a:t>100</a:t>
          </a:r>
          <a:r>
            <a:rPr lang="ko-KR" altLang="en-US" sz="1100"/>
            <a:t>만</a:t>
          </a:r>
          <a:r>
            <a:rPr lang="en-US" altLang="ko-KR" sz="1100"/>
            <a:t>(1000 * 1000) </a:t>
          </a:r>
          <a:r>
            <a:rPr lang="ko-KR" altLang="en-US" sz="1100"/>
            <a:t>의 배열에 </a:t>
          </a:r>
          <a:r>
            <a:rPr lang="en-US" altLang="ko-KR" sz="1100"/>
            <a:t>± 100</a:t>
          </a:r>
          <a:r>
            <a:rPr lang="ko-KR" altLang="en-US" sz="1100"/>
            <a:t>만 범위의 값들이 있으므로 구간의 합은 </a:t>
          </a:r>
          <a:r>
            <a:rPr lang="en-US" altLang="ko-KR" sz="1100"/>
            <a:t>int</a:t>
          </a:r>
          <a:r>
            <a:rPr lang="ko-KR" altLang="en-US" sz="1100"/>
            <a:t>범위를 초과할 수 있다</a:t>
          </a:r>
          <a:r>
            <a:rPr lang="en-US" altLang="ko-KR" sz="1100"/>
            <a:t>.</a:t>
          </a:r>
        </a:p>
        <a:p>
          <a:r>
            <a:rPr lang="ko-KR" altLang="en-US" sz="1100"/>
            <a:t>    따라서 합을 저장하기</a:t>
          </a:r>
          <a:r>
            <a:rPr lang="ko-KR" altLang="en-US" sz="1100" baseline="0"/>
            <a:t> 위한 변수는 </a:t>
          </a:r>
          <a:r>
            <a:rPr lang="en-US" altLang="ko-KR" sz="1100" b="1">
              <a:solidFill>
                <a:srgbClr val="FF0000"/>
              </a:solidFill>
            </a:rPr>
            <a:t>long</a:t>
          </a:r>
          <a:r>
            <a:rPr lang="en-US" altLang="ko-KR" sz="1100" b="1" baseline="0">
              <a:solidFill>
                <a:srgbClr val="FF0000"/>
              </a:solidFill>
            </a:rPr>
            <a:t> long </a:t>
          </a:r>
          <a:r>
            <a:rPr lang="ko-KR" altLang="en-US" sz="1100" baseline="0"/>
            <a:t>자료형이어야 한다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2.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크기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만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(1000 * 1000) </a:t>
          </a:r>
          <a:r>
            <a:rPr lang="en-US" altLang="ko-KR" sz="1100" baseline="0"/>
            <a:t>, </a:t>
          </a:r>
          <a:r>
            <a:rPr lang="ko-KR" altLang="en-US" sz="1100" baseline="0"/>
            <a:t>쿼리 수 </a:t>
          </a:r>
          <a:r>
            <a:rPr lang="en-US" altLang="ko-KR" sz="1100" baseline="0"/>
            <a:t>100</a:t>
          </a:r>
          <a:r>
            <a:rPr lang="ko-KR" altLang="en-US" sz="1100" baseline="0"/>
            <a:t>만이므로 매 쿼리당 단순한 선형 탐색</a:t>
          </a:r>
          <a:r>
            <a:rPr lang="en-US" altLang="ko-KR" sz="1100" baseline="0"/>
            <a:t>(linear search)</a:t>
          </a:r>
          <a:r>
            <a:rPr lang="ko-KR" altLang="en-US" sz="1100" baseline="0"/>
            <a:t>으로</a:t>
          </a:r>
          <a:br>
            <a:rPr lang="en-US" altLang="ko-KR" sz="1100" baseline="0"/>
          </a:br>
          <a:r>
            <a:rPr lang="en-US" altLang="ko-KR" sz="1100" baseline="0"/>
            <a:t>    </a:t>
          </a:r>
          <a:r>
            <a:rPr lang="ko-KR" altLang="en-US" sz="1100" baseline="0"/>
            <a:t>답을 구하는 경우 전체 시간복잡도는 </a:t>
          </a:r>
          <a:r>
            <a:rPr lang="en-US" altLang="ko-KR" sz="1100" baseline="0"/>
            <a:t>O( N * Q = 100</a:t>
          </a:r>
          <a:r>
            <a:rPr lang="ko-KR" altLang="en-US" sz="1100" baseline="0"/>
            <a:t>만 </a:t>
          </a:r>
          <a:r>
            <a:rPr lang="en-US" altLang="ko-KR" sz="1100" baseline="0"/>
            <a:t>* 100</a:t>
          </a:r>
          <a:r>
            <a:rPr lang="ko-KR" altLang="en-US" sz="1100" baseline="0"/>
            <a:t>만</a:t>
          </a:r>
          <a:r>
            <a:rPr lang="en-US" altLang="ko-KR" sz="1100" baseline="0"/>
            <a:t>)</a:t>
          </a:r>
          <a:r>
            <a:rPr lang="ko-KR" altLang="en-US" sz="1100" baseline="0"/>
            <a:t>으로 </a:t>
          </a:r>
          <a:r>
            <a:rPr lang="en-US" altLang="ko-KR" sz="1100" baseline="0"/>
            <a:t>TLE(</a:t>
          </a:r>
          <a:r>
            <a:rPr lang="ko-KR" altLang="en-US" sz="1100" baseline="0"/>
            <a:t>시간초과</a:t>
          </a:r>
          <a:r>
            <a:rPr lang="en-US" altLang="ko-KR" sz="1100" baseline="0"/>
            <a:t>)</a:t>
          </a:r>
          <a:r>
            <a:rPr lang="ko-KR" altLang="en-US" sz="1100" baseline="0"/>
            <a:t>가 예상된다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    </a:t>
          </a:r>
          <a:r>
            <a:rPr lang="ko-KR" altLang="en-US" sz="1100" baseline="0"/>
            <a:t>효율적인 탐색을 위하여 </a:t>
          </a:r>
          <a:r>
            <a:rPr lang="ko-KR" altLang="en-US" sz="1100" b="1" baseline="0">
              <a:solidFill>
                <a:srgbClr val="FF0000"/>
              </a:solidFill>
            </a:rPr>
            <a:t>탐색공간을 축소</a:t>
          </a:r>
          <a:r>
            <a:rPr lang="ko-KR" altLang="en-US" sz="1100" baseline="0"/>
            <a:t>해야 한다</a:t>
          </a:r>
          <a:r>
            <a:rPr lang="en-US" altLang="ko-KR" sz="1100" baseline="0"/>
            <a:t>.</a:t>
          </a:r>
        </a:p>
        <a:p>
          <a:endParaRPr lang="en-US" altLang="ko-KR" sz="1100" baseline="0"/>
        </a:p>
        <a:p>
          <a:r>
            <a:rPr lang="en-US" altLang="ko-KR" sz="1100" baseline="0"/>
            <a:t>    </a:t>
          </a:r>
          <a:r>
            <a:rPr lang="ko-KR" altLang="en-US" sz="1100" baseline="0"/>
            <a:t>어떻게 할 수 있을까</a:t>
          </a:r>
          <a:r>
            <a:rPr lang="en-US" altLang="ko-KR" sz="1100" baseline="0"/>
            <a:t>?</a:t>
          </a:r>
          <a:endParaRPr lang="en-US" altLang="ko-KR" sz="1100"/>
        </a:p>
        <a:p>
          <a:endParaRPr lang="en-US" altLang="ko-KR" sz="1100"/>
        </a:p>
        <a:p>
          <a:r>
            <a:rPr lang="en-US" altLang="ko-KR" sz="1100" b="1"/>
            <a:t>[</a:t>
          </a:r>
          <a:r>
            <a:rPr lang="ko-KR" altLang="en-US" sz="1100" b="1"/>
            <a:t>해결 전략</a:t>
          </a:r>
          <a:r>
            <a:rPr lang="en-US" altLang="ko-KR" sz="1100" b="1"/>
            <a:t>]</a:t>
          </a:r>
        </a:p>
        <a:p>
          <a:r>
            <a:rPr lang="ko-KR" altLang="en-US" sz="1100"/>
            <a:t>아래 그림과 같은 </a:t>
          </a:r>
          <a:r>
            <a:rPr lang="ko-KR" altLang="en-US" sz="1100" b="1">
              <a:solidFill>
                <a:srgbClr val="FF0000"/>
              </a:solidFill>
            </a:rPr>
            <a:t>누적합</a:t>
          </a:r>
          <a:r>
            <a:rPr lang="en-US" altLang="ko-KR" sz="1100" b="1">
              <a:solidFill>
                <a:srgbClr val="FF0000"/>
              </a:solidFill>
            </a:rPr>
            <a:t>(PrefixSum)</a:t>
          </a:r>
          <a:r>
            <a:rPr lang="ko-KR" altLang="en-US" sz="1100"/>
            <a:t>전략을 사용할 수 있다</a:t>
          </a:r>
          <a:r>
            <a:rPr lang="en-US" altLang="ko-KR" sz="1100"/>
            <a:t>.</a:t>
          </a:r>
        </a:p>
        <a:p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전체 시간복잡도는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O( N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+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Q = 100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만 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+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100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만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로 곱셈을 덧셈으로 바꾸는 </a:t>
          </a:r>
          <a:endParaRPr lang="en-US" altLang="ko-K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/>
            <a:t>마법</a:t>
          </a:r>
          <a:r>
            <a:rPr lang="en-US" altLang="ko-KR" sz="1100"/>
            <a:t>(^^)</a:t>
          </a:r>
          <a:r>
            <a:rPr lang="ko-KR" altLang="en-US" sz="1100"/>
            <a:t>을 부릴수 있다</a:t>
          </a:r>
          <a:r>
            <a:rPr lang="en-US" altLang="ko-KR" sz="1100"/>
            <a:t>.</a:t>
          </a:r>
        </a:p>
      </xdr:txBody>
    </xdr:sp>
    <xdr:clientData/>
  </xdr:twoCellAnchor>
  <xdr:twoCellAnchor>
    <xdr:from>
      <xdr:col>22</xdr:col>
      <xdr:colOff>42134</xdr:colOff>
      <xdr:row>16</xdr:row>
      <xdr:rowOff>153185</xdr:rowOff>
    </xdr:from>
    <xdr:to>
      <xdr:col>37</xdr:col>
      <xdr:colOff>156434</xdr:colOff>
      <xdr:row>18</xdr:row>
      <xdr:rowOff>147469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A64B1B0B-9178-A0A5-501F-A26B4956096A}"/>
            </a:ext>
          </a:extLst>
        </xdr:cNvPr>
        <xdr:cNvSpPr/>
      </xdr:nvSpPr>
      <xdr:spPr>
        <a:xfrm>
          <a:off x="7852634" y="3739067"/>
          <a:ext cx="5325035" cy="4425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200" b="1"/>
            <a:t>쿼리에 답하기 </a:t>
          </a:r>
          <a:r>
            <a:rPr lang="en-US" altLang="ko-KR" sz="1200" b="1"/>
            <a:t>: </a:t>
          </a:r>
          <a:r>
            <a:rPr lang="ko-KR" altLang="ko-KR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구간합 </a:t>
          </a:r>
          <a:r>
            <a:rPr lang="en-US" altLang="ko-KR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(A[3][3] ~ A[5][5]) </a:t>
          </a:r>
          <a:r>
            <a:rPr lang="ko-KR" altLang="en-US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을 구하는 경우</a:t>
          </a:r>
          <a:endParaRPr lang="ko-KR" altLang="en-US" sz="1200" b="1"/>
        </a:p>
      </xdr:txBody>
    </xdr:sp>
    <xdr:clientData/>
  </xdr:twoCellAnchor>
  <xdr:twoCellAnchor>
    <xdr:from>
      <xdr:col>1</xdr:col>
      <xdr:colOff>104775</xdr:colOff>
      <xdr:row>28</xdr:row>
      <xdr:rowOff>161925</xdr:rowOff>
    </xdr:from>
    <xdr:to>
      <xdr:col>16</xdr:col>
      <xdr:colOff>28575</xdr:colOff>
      <xdr:row>30</xdr:row>
      <xdr:rowOff>114300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897558B2-0F40-C675-AC7C-904F116F34DE}"/>
            </a:ext>
          </a:extLst>
        </xdr:cNvPr>
        <xdr:cNvSpPr/>
      </xdr:nvSpPr>
      <xdr:spPr>
        <a:xfrm>
          <a:off x="619125" y="6086475"/>
          <a:ext cx="5067300" cy="390525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>
              <a:latin typeface="D2Coding" panose="020B0609020101020101" pitchFamily="49" charset="-127"/>
              <a:ea typeface="D2Coding" panose="020B0609020101020101" pitchFamily="49" charset="-127"/>
            </a:rPr>
            <a:t>2</a:t>
          </a:r>
          <a:r>
            <a:rPr lang="ko-KR" altLang="en-US" sz="1200">
              <a:latin typeface="D2Coding" panose="020B0609020101020101" pitchFamily="49" charset="-127"/>
              <a:ea typeface="D2Coding" panose="020B0609020101020101" pitchFamily="49" charset="-127"/>
            </a:rPr>
            <a:t>차원 누적합 구하기 방법 </a:t>
          </a:r>
          <a:r>
            <a:rPr lang="en-US" altLang="ko-KR" sz="1200">
              <a:latin typeface="D2Coding" panose="020B0609020101020101" pitchFamily="49" charset="-127"/>
              <a:ea typeface="D2Coding" panose="020B0609020101020101" pitchFamily="49" charset="-127"/>
            </a:rPr>
            <a:t>2 &lt;=</a:t>
          </a:r>
          <a:r>
            <a:rPr lang="en-US" altLang="ko-KR" sz="1200" baseline="0">
              <a:latin typeface="D2Coding" panose="020B0609020101020101" pitchFamily="49" charset="-127"/>
              <a:ea typeface="D2Coding" panose="020B0609020101020101" pitchFamily="49" charset="-127"/>
            </a:rPr>
            <a:t> </a:t>
          </a:r>
          <a:r>
            <a:rPr lang="ko-KR" altLang="en-US" sz="1200" baseline="0">
              <a:latin typeface="D2Coding" panose="020B0609020101020101" pitchFamily="49" charset="-127"/>
              <a:ea typeface="D2Coding" panose="020B0609020101020101" pitchFamily="49" charset="-127"/>
            </a:rPr>
            <a:t>추천하는 방법</a:t>
          </a:r>
          <a:endParaRPr lang="ko-KR" altLang="en-US" sz="1200">
            <a:latin typeface="D2Coding" panose="020B0609020101020101" pitchFamily="49" charset="-127"/>
            <a:ea typeface="D2Coding" panose="020B0609020101020101" pitchFamily="49" charset="-127"/>
          </a:endParaRPr>
        </a:p>
      </xdr:txBody>
    </xdr:sp>
    <xdr:clientData/>
  </xdr:twoCellAnchor>
  <xdr:twoCellAnchor>
    <xdr:from>
      <xdr:col>1</xdr:col>
      <xdr:colOff>106680</xdr:colOff>
      <xdr:row>16</xdr:row>
      <xdr:rowOff>201930</xdr:rowOff>
    </xdr:from>
    <xdr:to>
      <xdr:col>16</xdr:col>
      <xdr:colOff>30480</xdr:colOff>
      <xdr:row>18</xdr:row>
      <xdr:rowOff>83820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CAB565DB-2633-A520-DB80-0274634CBBC6}"/>
            </a:ext>
          </a:extLst>
        </xdr:cNvPr>
        <xdr:cNvSpPr/>
      </xdr:nvSpPr>
      <xdr:spPr>
        <a:xfrm>
          <a:off x="621030" y="3716655"/>
          <a:ext cx="5067300" cy="32004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>
              <a:latin typeface="D2Coding" panose="020B0609020101020101" pitchFamily="49" charset="-127"/>
              <a:ea typeface="D2Coding" panose="020B0609020101020101" pitchFamily="49" charset="-127"/>
            </a:rPr>
            <a:t>2</a:t>
          </a:r>
          <a:r>
            <a:rPr lang="ko-KR" altLang="en-US" sz="1200">
              <a:latin typeface="D2Coding" panose="020B0609020101020101" pitchFamily="49" charset="-127"/>
              <a:ea typeface="D2Coding" panose="020B0609020101020101" pitchFamily="49" charset="-127"/>
            </a:rPr>
            <a:t>차원 누적합 구하기 방법 </a:t>
          </a:r>
          <a:r>
            <a:rPr lang="en-US" altLang="ko-KR" sz="1200">
              <a:latin typeface="D2Coding" panose="020B0609020101020101" pitchFamily="49" charset="-127"/>
              <a:ea typeface="D2Coding" panose="020B0609020101020101" pitchFamily="49" charset="-127"/>
            </a:rPr>
            <a:t>1 </a:t>
          </a:r>
          <a:endParaRPr lang="ko-KR" altLang="en-US" sz="1200">
            <a:latin typeface="D2Coding" panose="020B0609020101020101" pitchFamily="49" charset="-127"/>
            <a:ea typeface="D2Coding" panose="020B0609020101020101" pitchFamily="49" charset="-127"/>
          </a:endParaRPr>
        </a:p>
      </xdr:txBody>
    </xdr:sp>
    <xdr:clientData/>
  </xdr:twoCellAnchor>
  <xdr:twoCellAnchor>
    <xdr:from>
      <xdr:col>1</xdr:col>
      <xdr:colOff>64036</xdr:colOff>
      <xdr:row>48</xdr:row>
      <xdr:rowOff>18463</xdr:rowOff>
    </xdr:from>
    <xdr:to>
      <xdr:col>17</xdr:col>
      <xdr:colOff>335133</xdr:colOff>
      <xdr:row>50</xdr:row>
      <xdr:rowOff>58614</xdr:rowOff>
    </xdr:to>
    <xdr:sp macro="" textlink="">
      <xdr:nvSpPr>
        <xdr:cNvPr id="23" name="사각형: 둥근 모서리 22">
          <a:extLst>
            <a:ext uri="{FF2B5EF4-FFF2-40B4-BE49-F238E27FC236}">
              <a16:creationId xmlns:a16="http://schemas.microsoft.com/office/drawing/2014/main" id="{24E2CDF9-34C0-AC20-0CF3-5124BB06CAC9}"/>
            </a:ext>
          </a:extLst>
        </xdr:cNvPr>
        <xdr:cNvSpPr/>
      </xdr:nvSpPr>
      <xdr:spPr>
        <a:xfrm>
          <a:off x="576921" y="10576559"/>
          <a:ext cx="5780943" cy="479767"/>
        </a:xfrm>
        <a:prstGeom prst="round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800"/>
            <a:t>관련 기출문제 </a:t>
          </a:r>
          <a:r>
            <a:rPr lang="en-US" altLang="ko-KR" sz="1800"/>
            <a:t>: EX Square</a:t>
          </a:r>
          <a:endParaRPr lang="ko-KR" altLang="en-US" sz="18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119368</xdr:colOff>
      <xdr:row>9</xdr:row>
      <xdr:rowOff>152589</xdr:rowOff>
    </xdr:from>
    <xdr:to>
      <xdr:col>19</xdr:col>
      <xdr:colOff>10511</xdr:colOff>
      <xdr:row>10</xdr:row>
      <xdr:rowOff>158032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0A9D56-0B0B-47B8-86ED-EEE7B8C4778B}"/>
            </a:ext>
          </a:extLst>
        </xdr:cNvPr>
        <xdr:cNvSpPr txBox="1"/>
      </xdr:nvSpPr>
      <xdr:spPr>
        <a:xfrm>
          <a:off x="3312148" y="2149029"/>
          <a:ext cx="1598023" cy="2264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O(Q</a:t>
          </a:r>
          <a:r>
            <a:rPr lang="en-US" altLang="ko-KR" sz="1100" baseline="0"/>
            <a:t> * N</a:t>
          </a:r>
          <a:r>
            <a:rPr lang="en-US" altLang="ko-KR" sz="1100"/>
            <a:t>)</a:t>
          </a:r>
          <a:endParaRPr lang="ko-KR" altLang="en-US" sz="1100"/>
        </a:p>
      </xdr:txBody>
    </xdr:sp>
    <xdr:clientData/>
  </xdr:twoCellAnchor>
  <xdr:twoCellAnchor>
    <xdr:from>
      <xdr:col>28</xdr:col>
      <xdr:colOff>207780</xdr:colOff>
      <xdr:row>36</xdr:row>
      <xdr:rowOff>213081</xdr:rowOff>
    </xdr:from>
    <xdr:to>
      <xdr:col>54</xdr:col>
      <xdr:colOff>171450</xdr:colOff>
      <xdr:row>59</xdr:row>
      <xdr:rowOff>200026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C260BF4-3C5A-4146-8AD9-C4C98F17C0C6}"/>
            </a:ext>
          </a:extLst>
        </xdr:cNvPr>
        <xdr:cNvSpPr txBox="1"/>
      </xdr:nvSpPr>
      <xdr:spPr>
        <a:xfrm>
          <a:off x="7408680" y="8109306"/>
          <a:ext cx="6402570" cy="50256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[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문제 분석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]</a:t>
          </a:r>
        </a:p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(sr,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sc), (er, ec)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구간 업데이트를 실시간으로 수행하면</a:t>
          </a:r>
          <a:endParaRPr lang="en-US" altLang="ko-KR" sz="1100" baseline="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시간복잡도는 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O(N*N*M)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이다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개선할 수 있을까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?</a:t>
          </a:r>
        </a:p>
        <a:p>
          <a:endParaRPr lang="en-US" altLang="ko-KR" sz="1100" baseline="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[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해법 연구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]</a:t>
          </a:r>
        </a:p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*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먼저 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1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차원에 대한 업데이트를 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lazy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하게 처리하는 방법을 생각할 수 있다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  <a:b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</a:b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이러한 방법을 </a:t>
          </a:r>
          <a:r>
            <a:rPr lang="ko-KR" altLang="en-US" sz="1100" b="1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차분배열테크닉</a:t>
          </a:r>
          <a:r>
            <a:rPr lang="en-US" altLang="ko-KR" sz="1100" b="1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(Difference Array Technique)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이라고 한다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(si,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ei, vi) 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를 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arr[si] ~ arr[ei] 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구간에 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vi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를 더하는 것이라고 한다면 </a:t>
          </a:r>
          <a:endParaRPr lang="en-US" altLang="ko-KR" sz="1100" baseline="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   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arr[si] += vi, arr[ei] -= vi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만 수행하고 맨 나중에 </a:t>
          </a:r>
          <a:endParaRPr lang="en-US" altLang="ko-KR" sz="1100" baseline="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     한번만 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prefixSum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을 구하는 것으로 결과를 얻을 수 있다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endParaRPr lang="en-US" altLang="ko-KR" sz="1100" baseline="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* 1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차원 방법을 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2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차원으로 확장할 수 있다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  (sri, sci, eri, eci, vi) 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에 대하여</a:t>
          </a:r>
          <a:endParaRPr lang="en-US" altLang="ko-KR" sz="1100" baseline="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 b="1" baseline="0">
              <a:solidFill>
                <a:schemeClr val="accent5"/>
              </a:solidFill>
              <a:latin typeface="D2Coding" panose="020B0609020101020101" pitchFamily="49" charset="-127"/>
              <a:ea typeface="D2Coding" panose="020B0609020101020101" pitchFamily="49" charset="-127"/>
            </a:rPr>
            <a:t>   arr[sri][sci] += vi,   arr[sri][sci +1] -= vi;</a:t>
          </a:r>
        </a:p>
        <a:p>
          <a:r>
            <a:rPr lang="en-US" altLang="ko-KR" sz="1100" b="1" baseline="0">
              <a:solidFill>
                <a:schemeClr val="accent5"/>
              </a:solidFill>
              <a:latin typeface="D2Coding" panose="020B0609020101020101" pitchFamily="49" charset="-127"/>
              <a:ea typeface="D2Coding" panose="020B0609020101020101" pitchFamily="49" charset="-127"/>
            </a:rPr>
            <a:t>   arr[eri+1][sci] -= vi, arr[eri+1][eci+1] += vi; </a:t>
          </a: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  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만을 수행하고 </a:t>
          </a:r>
          <a:endParaRPr lang="en-US" altLang="ko-KR" sz="1100" baseline="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  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맨 나중에 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2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차원 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prefixSum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을 구하여 결과를 얻을 수 있다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endParaRPr lang="en-US" altLang="ko-KR" sz="1100" baseline="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  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이렇게 하는 경우 시간복잡도는 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O(N*N + M)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이 된다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* !!!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값의 범위가 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int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범위를 초과할 수 있음으로 </a:t>
          </a:r>
          <a:r>
            <a:rPr lang="en-US" altLang="ko-KR" sz="1100" b="1">
              <a:solidFill>
                <a:schemeClr val="accent5"/>
              </a:solidFill>
              <a:latin typeface="D2Coding" panose="020B0609020101020101" pitchFamily="49" charset="-127"/>
              <a:ea typeface="D2Coding" panose="020B0609020101020101" pitchFamily="49" charset="-127"/>
            </a:rPr>
            <a:t>long long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을 사용해야 한다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  <a:endParaRPr lang="ko-KR" altLang="en-US" sz="1100">
            <a:latin typeface="D2Coding" panose="020B0609020101020101" pitchFamily="49" charset="-127"/>
            <a:ea typeface="D2Coding" panose="020B0609020101020101" pitchFamily="49" charset="-127"/>
          </a:endParaRPr>
        </a:p>
      </xdr:txBody>
    </xdr:sp>
    <xdr:clientData/>
  </xdr:twoCellAnchor>
  <xdr:twoCellAnchor>
    <xdr:from>
      <xdr:col>2</xdr:col>
      <xdr:colOff>60405</xdr:colOff>
      <xdr:row>24</xdr:row>
      <xdr:rowOff>169544</xdr:rowOff>
    </xdr:from>
    <xdr:to>
      <xdr:col>27</xdr:col>
      <xdr:colOff>135190</xdr:colOff>
      <xdr:row>32</xdr:row>
      <xdr:rowOff>52551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B02283E-6FA4-4CE6-AB03-BA609612990F}"/>
            </a:ext>
          </a:extLst>
        </xdr:cNvPr>
        <xdr:cNvSpPr txBox="1"/>
      </xdr:nvSpPr>
      <xdr:spPr>
        <a:xfrm>
          <a:off x="822405" y="5385303"/>
          <a:ext cx="6315302" cy="16172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1</a:t>
          </a:r>
          <a:r>
            <a:rPr lang="ko-KR" altLang="en-US" sz="1100"/>
            <a:t>차원에서는 </a:t>
          </a:r>
          <a:r>
            <a:rPr lang="ko-KR" alt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차분배열테크닉</a:t>
          </a:r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(Difference Array Technique)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을 이용하여 다음과 같이</a:t>
          </a:r>
          <a:r>
            <a:rPr lang="ko-KR" altLang="en-US" sz="1100"/>
            <a:t> 처리할 수 있다</a:t>
          </a:r>
          <a:r>
            <a:rPr lang="en-US" altLang="ko-KR" sz="1100"/>
            <a:t>.</a:t>
          </a:r>
        </a:p>
        <a:p>
          <a:r>
            <a:rPr lang="en-US" altLang="ko-KR" sz="1100"/>
            <a:t>1. query(s, e, w)</a:t>
          </a:r>
          <a:r>
            <a:rPr lang="ko-KR" altLang="en-US" sz="1100"/>
            <a:t>에 대하여 </a:t>
          </a:r>
          <a:r>
            <a:rPr lang="en-US" altLang="ko-KR" sz="1100"/>
            <a:t>: O(Q)</a:t>
          </a:r>
        </a:p>
        <a:p>
          <a:r>
            <a:rPr lang="en-US" altLang="ko-KR" sz="1100"/>
            <a:t>    (1) </a:t>
          </a:r>
          <a:r>
            <a:rPr lang="ko-KR" altLang="en-US" sz="1100"/>
            <a:t>변화가 시작되는 위치에 </a:t>
          </a:r>
          <a:r>
            <a:rPr lang="en-US" altLang="ko-KR" sz="1100"/>
            <a:t>w</a:t>
          </a:r>
          <a:r>
            <a:rPr lang="ko-KR" altLang="en-US" sz="1100"/>
            <a:t>를 더한다</a:t>
          </a:r>
          <a:r>
            <a:rPr lang="en-US" altLang="ko-KR" sz="1100"/>
            <a:t>.  :   A[s] += w</a:t>
          </a:r>
        </a:p>
        <a:p>
          <a:r>
            <a:rPr lang="en-US" altLang="ko-KR" sz="1100" baseline="0"/>
            <a:t>    (2) </a:t>
          </a:r>
          <a:r>
            <a:rPr lang="ko-KR" altLang="en-US" sz="1100" baseline="0"/>
            <a:t>변화가 끝난 다음 위치에 </a:t>
          </a:r>
          <a:r>
            <a:rPr lang="en-US" altLang="ko-KR" sz="1100" baseline="0"/>
            <a:t>w</a:t>
          </a:r>
          <a:r>
            <a:rPr lang="ko-KR" altLang="en-US" sz="1100" baseline="0"/>
            <a:t>를 빼준다</a:t>
          </a:r>
          <a:r>
            <a:rPr lang="en-US" altLang="ko-KR" sz="1100" baseline="0"/>
            <a:t>. :  </a:t>
          </a:r>
          <a:r>
            <a:rPr lang="en-US" altLang="ko-KR" sz="1100"/>
            <a:t> A[e + 1] -= w</a:t>
          </a:r>
        </a:p>
        <a:p>
          <a:r>
            <a:rPr lang="en-US" altLang="ko-KR" sz="1100"/>
            <a:t>2. </a:t>
          </a:r>
          <a:r>
            <a:rPr lang="ko-KR" altLang="en-US" sz="1100"/>
            <a:t>모든 쿼리처리가 끝난후 </a:t>
          </a:r>
          <a:r>
            <a:rPr lang="ko-KR" altLang="en-US" sz="1100" b="1"/>
            <a:t>연속부분합</a:t>
          </a:r>
          <a:r>
            <a:rPr lang="ko-KR" altLang="en-US" sz="1100"/>
            <a:t>을 구하여 출력하면 된다</a:t>
          </a:r>
          <a:r>
            <a:rPr lang="en-US" altLang="ko-KR" sz="1100"/>
            <a:t>.  O(N)</a:t>
          </a:r>
        </a:p>
        <a:p>
          <a:r>
            <a:rPr lang="en-US" altLang="ko-KR" sz="1100"/>
            <a:t>3. </a:t>
          </a:r>
          <a:r>
            <a:rPr lang="ko-KR" altLang="en-US" sz="1100"/>
            <a:t>전체 시간복잡도는 </a:t>
          </a:r>
          <a:r>
            <a:rPr lang="en-US" altLang="ko-KR" sz="1100"/>
            <a:t>O(Q + N)</a:t>
          </a:r>
          <a:r>
            <a:rPr lang="ko-KR" altLang="en-US" sz="1100"/>
            <a:t>이다</a:t>
          </a:r>
          <a:r>
            <a:rPr lang="en-US" altLang="ko-KR" sz="1100"/>
            <a:t>.</a:t>
          </a:r>
          <a:endParaRPr lang="ko-KR" altLang="en-US" sz="1100"/>
        </a:p>
      </xdr:txBody>
    </xdr:sp>
    <xdr:clientData/>
  </xdr:twoCellAnchor>
  <xdr:twoCellAnchor>
    <xdr:from>
      <xdr:col>2</xdr:col>
      <xdr:colOff>8811</xdr:colOff>
      <xdr:row>1</xdr:row>
      <xdr:rowOff>152059</xdr:rowOff>
    </xdr:from>
    <xdr:to>
      <xdr:col>23</xdr:col>
      <xdr:colOff>102869</xdr:colOff>
      <xdr:row>9</xdr:row>
      <xdr:rowOff>40005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040FA5B-6834-408D-A1DE-8E7F070A5B9F}"/>
            </a:ext>
          </a:extLst>
        </xdr:cNvPr>
        <xdr:cNvSpPr txBox="1"/>
      </xdr:nvSpPr>
      <xdr:spPr>
        <a:xfrm>
          <a:off x="770811" y="380659"/>
          <a:ext cx="5294708" cy="16405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* </a:t>
          </a:r>
          <a:r>
            <a:rPr lang="ko-KR" altLang="en-US" sz="1100"/>
            <a:t>먼저 </a:t>
          </a:r>
          <a:r>
            <a:rPr lang="en-US" altLang="ko-KR" sz="1100" b="1"/>
            <a:t>1</a:t>
          </a:r>
          <a:r>
            <a:rPr lang="ko-KR" altLang="en-US" sz="1100" b="1"/>
            <a:t>차원인 경우</a:t>
          </a:r>
          <a:r>
            <a:rPr lang="ko-KR" altLang="en-US" sz="1100"/>
            <a:t>를 생각해 보자</a:t>
          </a:r>
          <a:br>
            <a:rPr lang="en-US" altLang="ko-KR" sz="1100"/>
          </a:br>
          <a:r>
            <a:rPr lang="en-US" altLang="ko-KR" sz="1100"/>
            <a:t>  </a:t>
          </a:r>
          <a:r>
            <a:rPr lang="ko-KR" altLang="en-US" sz="1100"/>
            <a:t>아래와 같은 쿼리가 주어지는 경우 어떻게 계산할 수 있을까</a:t>
          </a:r>
          <a:r>
            <a:rPr lang="en-US" altLang="ko-KR" sz="1100"/>
            <a:t>?</a:t>
          </a:r>
        </a:p>
        <a:p>
          <a:r>
            <a:rPr lang="en-US" altLang="ko-KR" sz="1100"/>
            <a:t>N  Q</a:t>
          </a:r>
        </a:p>
        <a:p>
          <a:r>
            <a:rPr lang="en-US" altLang="ko-KR" sz="1100"/>
            <a:t>20 4</a:t>
          </a:r>
        </a:p>
        <a:p>
          <a:r>
            <a:rPr lang="en-US" altLang="ko-KR" sz="1100" b="1">
              <a:solidFill>
                <a:srgbClr val="7030A0"/>
              </a:solidFill>
            </a:rPr>
            <a:t>1 10</a:t>
          </a:r>
          <a:r>
            <a:rPr lang="en-US" altLang="ko-KR" sz="1100" b="1" baseline="0">
              <a:solidFill>
                <a:srgbClr val="7030A0"/>
              </a:solidFill>
            </a:rPr>
            <a:t> 1</a:t>
          </a:r>
        </a:p>
        <a:p>
          <a:r>
            <a:rPr lang="en-US" altLang="ko-KR" sz="1100" b="1" baseline="0">
              <a:solidFill>
                <a:srgbClr val="7030A0"/>
              </a:solidFill>
            </a:rPr>
            <a:t>3 8 5</a:t>
          </a:r>
        </a:p>
        <a:p>
          <a:r>
            <a:rPr lang="en-US" altLang="ko-KR" sz="1100" b="1">
              <a:solidFill>
                <a:srgbClr val="7030A0"/>
              </a:solidFill>
            </a:rPr>
            <a:t>7 15 3</a:t>
          </a:r>
        </a:p>
        <a:p>
          <a:r>
            <a:rPr lang="en-US" altLang="ko-KR" sz="1100" b="1">
              <a:solidFill>
                <a:srgbClr val="7030A0"/>
              </a:solidFill>
            </a:rPr>
            <a:t>9 19 2</a:t>
          </a:r>
          <a:endParaRPr lang="ko-KR" altLang="en-US" sz="1100" b="1">
            <a:solidFill>
              <a:srgbClr val="7030A0"/>
            </a:solidFill>
          </a:endParaRPr>
        </a:p>
      </xdr:txBody>
    </xdr:sp>
    <xdr:clientData/>
  </xdr:twoCellAnchor>
  <xdr:twoCellAnchor>
    <xdr:from>
      <xdr:col>2</xdr:col>
      <xdr:colOff>19049</xdr:colOff>
      <xdr:row>37</xdr:row>
      <xdr:rowOff>2407</xdr:rowOff>
    </xdr:from>
    <xdr:to>
      <xdr:col>24</xdr:col>
      <xdr:colOff>133349</xdr:colOff>
      <xdr:row>56</xdr:row>
      <xdr:rowOff>91966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A2148CC-AF5F-4460-B0E7-B83AB8C0FC74}"/>
            </a:ext>
          </a:extLst>
        </xdr:cNvPr>
        <xdr:cNvSpPr txBox="1"/>
      </xdr:nvSpPr>
      <xdr:spPr>
        <a:xfrm>
          <a:off x="781049" y="8036252"/>
          <a:ext cx="5605955" cy="420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*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이제 </a:t>
          </a:r>
          <a:r>
            <a:rPr lang="en-US" altLang="ko-KR" sz="1100" b="1">
              <a:latin typeface="D2Coding" panose="020B0609020101020101" pitchFamily="49" charset="-127"/>
              <a:ea typeface="D2Coding" panose="020B0609020101020101" pitchFamily="49" charset="-127"/>
            </a:rPr>
            <a:t>2</a:t>
          </a:r>
          <a:r>
            <a:rPr lang="ko-KR" altLang="en-US" sz="1100" b="1">
              <a:latin typeface="D2Coding" panose="020B0609020101020101" pitchFamily="49" charset="-127"/>
              <a:ea typeface="D2Coding" panose="020B0609020101020101" pitchFamily="49" charset="-127"/>
            </a:rPr>
            <a:t>차원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에서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계산해 보자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r>
            <a:rPr lang="en-US" altLang="ko-KR" sz="1100" b="0" i="0" u="none" strike="noStrike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아래와 같은 쿼리가 주어지는 경우</a:t>
          </a:r>
          <a:r>
            <a:rPr lang="ko-KR" altLang="en-US" sz="1100" b="0" i="0" u="none" strike="noStrike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</a:t>
          </a:r>
          <a:r>
            <a:rPr lang="en-US" altLang="ko-KR" sz="1100" b="0" i="0" u="none" strike="noStrike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2</a:t>
          </a:r>
          <a:r>
            <a:rPr lang="ko-KR" altLang="en-US" sz="1100" b="0" i="0" u="none" strike="noStrike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차원 특성에 맞는 방법을 사용할 수 있다</a:t>
          </a:r>
          <a:r>
            <a:rPr lang="en-US" altLang="ko-KR" sz="1100" b="0" i="0" u="none" strike="noStrike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</a:p>
        <a:p>
          <a:r>
            <a:rPr lang="en-US" altLang="ko-KR" sz="1100" b="0" i="0" u="none" strike="noStrike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1. </a:t>
          </a:r>
          <a:r>
            <a:rPr lang="ko-KR" altLang="en-US" sz="1100" b="0" i="0" u="none" strike="noStrike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구간의 시작과 끝을 업데이트하기</a:t>
          </a:r>
          <a:endParaRPr lang="en-US" altLang="ko-KR" sz="1100" b="0" i="0" u="none" strike="noStrike" baseline="0">
            <a:solidFill>
              <a:schemeClr val="dk1"/>
            </a:solidFill>
            <a:effectLst/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en-US" altLang="ko-KR" sz="1100" b="0" i="0" u="none" strike="noStrike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  (1) </a:t>
          </a:r>
          <a:r>
            <a:rPr lang="ko-KR" altLang="en-US" sz="1100" b="0" i="0" u="none" strike="noStrike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변화가 시작되는 위치에 </a:t>
          </a:r>
          <a:r>
            <a:rPr lang="en-US" altLang="ko-KR" sz="1100" b="0" i="0" u="none" strike="noStrike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w</a:t>
          </a:r>
          <a:r>
            <a:rPr lang="ko-KR" altLang="en-US" sz="1100" b="0" i="0" u="none" strike="noStrike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를 더한다</a:t>
          </a:r>
          <a:r>
            <a:rPr lang="en-US" altLang="ko-KR" sz="1100" b="0" i="0" u="none" strike="noStrike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         : </a:t>
          </a:r>
          <a:r>
            <a:rPr kumimoji="0" lang="en-US" altLang="ko-KR" sz="1100" b="1" i="0" u="none" strike="noStrike" kern="0" cap="none" spc="0" normalizeH="0" baseline="0" noProof="0">
              <a:ln>
                <a:noFill/>
              </a:ln>
              <a:solidFill>
                <a:srgbClr val="4472C4"/>
              </a:solidFill>
              <a:effectLst/>
              <a:uLnTx/>
              <a:uFillTx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A[sr][sc] += w</a:t>
          </a:r>
          <a:endParaRPr lang="en-US" altLang="ko-KR" sz="1100" b="0" i="0" u="none" strike="noStrike" baseline="0">
            <a:solidFill>
              <a:schemeClr val="dk1"/>
            </a:solidFill>
            <a:effectLst/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en-US" altLang="ko-KR" sz="1100" b="1" i="0" u="none" strike="noStrike" baseline="0">
              <a:solidFill>
                <a:schemeClr val="accent5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  </a:t>
          </a:r>
          <a:r>
            <a:rPr lang="en-US" altLang="ko-KR" sz="1100" b="0" i="0" u="none" strike="noStrike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(2) </a:t>
          </a:r>
          <a:r>
            <a:rPr lang="ko-KR" altLang="en-US" sz="1100" b="0" i="0" u="none" strike="noStrike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시작행에서 변화가 끝난 다음 위치에 </a:t>
          </a:r>
          <a:r>
            <a:rPr lang="en-US" altLang="ko-KR" sz="1100" b="0" i="0" u="none" strike="noStrike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w</a:t>
          </a:r>
          <a:r>
            <a:rPr lang="ko-KR" altLang="en-US" sz="1100" b="0" i="0" u="none" strike="noStrike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를 빼준다</a:t>
          </a:r>
          <a:r>
            <a:rPr lang="en-US" altLang="ko-KR" sz="1100" b="0" i="0" u="none" strike="noStrike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 : </a:t>
          </a:r>
          <a:r>
            <a:rPr lang="en-US" altLang="ko-KR" sz="1100" b="1" i="0" u="none" strike="noStrike" baseline="0">
              <a:solidFill>
                <a:schemeClr val="accent5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A[sr][ec + 1] -= w</a:t>
          </a:r>
        </a:p>
        <a:p>
          <a:r>
            <a:rPr lang="en-US" altLang="ko-KR" sz="1100" b="0" i="0" u="none" strike="noStrike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  (3) </a:t>
          </a:r>
          <a:r>
            <a:rPr lang="ko-KR" altLang="en-US" sz="1100" b="0" i="0" u="none" strike="noStrike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시작열에서 변화가 끝난 다음 위치에 </a:t>
          </a:r>
          <a:r>
            <a:rPr lang="en-US" altLang="ko-KR" sz="1100" b="0" i="0" u="none" strike="noStrike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w</a:t>
          </a:r>
          <a:r>
            <a:rPr lang="ko-KR" altLang="en-US" sz="1100" b="0" i="0" u="none" strike="noStrike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를 빼준다</a:t>
          </a:r>
          <a:r>
            <a:rPr lang="en-US" altLang="ko-KR" sz="1100" b="0" i="0" u="none" strike="noStrike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 : </a:t>
          </a:r>
          <a:r>
            <a:rPr lang="en-US" altLang="ko-KR" sz="1100" b="1" i="0" u="none" strike="noStrike" baseline="0">
              <a:solidFill>
                <a:schemeClr val="accent5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A[er+1][sc] -= w</a:t>
          </a:r>
        </a:p>
        <a:p>
          <a:r>
            <a:rPr lang="en-US" altLang="ko-KR" sz="1100" b="0" i="0" u="none" strike="noStrike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  (4) </a:t>
          </a:r>
          <a:r>
            <a:rPr lang="ko-KR" altLang="en-US" sz="1100" b="0" i="0" u="none" strike="noStrike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위와 같이 한 이후 누적합을 구하면</a:t>
          </a:r>
          <a:endParaRPr lang="en-US" altLang="ko-KR" sz="1100" b="0" i="0" u="none" strike="noStrike" baseline="0">
            <a:solidFill>
              <a:schemeClr val="dk1"/>
            </a:solidFill>
            <a:effectLst/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en-US" altLang="ko-KR" sz="1100" b="0" i="0" u="none" strike="noStrike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     </a:t>
          </a:r>
          <a:r>
            <a:rPr lang="ko-KR" altLang="en-US" sz="1100" b="0" i="0" u="none" strike="noStrike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변화가 </a:t>
          </a:r>
          <a:r>
            <a:rPr lang="ko-KR" altLang="en-US" sz="1100" b="1" i="0" u="none" strike="noStrike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끝난</a:t>
          </a:r>
          <a:r>
            <a:rPr lang="ko-KR" altLang="en-US" sz="1100" b="0" i="0" u="none" strike="noStrike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다음행과 변화가 끝난 다음열부터 음수가 발생한다</a:t>
          </a:r>
          <a:r>
            <a:rPr lang="en-US" altLang="ko-KR" sz="1100" b="0" i="0" u="none" strike="noStrike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</a:p>
        <a:p>
          <a:r>
            <a:rPr lang="en-US" altLang="ko-KR" sz="1100" b="0" i="0" u="none" strike="noStrike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      </a:t>
          </a:r>
          <a:r>
            <a:rPr lang="ko-KR" altLang="en-US" sz="1100" b="0" i="0" u="none" strike="noStrike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따라서 </a:t>
          </a:r>
          <a:r>
            <a:rPr lang="ko-KR" altLang="ko-KR" sz="1100" b="0" i="0" u="none" strike="noStrike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변화가 끝난 다음행과 변화가 끝난 다음열</a:t>
          </a:r>
          <a:r>
            <a:rPr lang="en-US" altLang="ko-KR" sz="1100" b="0" i="0" u="none" strike="noStrike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</a:t>
          </a:r>
          <a:r>
            <a:rPr lang="ko-KR" altLang="en-US" sz="1100" b="0" i="0" u="none" strike="noStrike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위치에 </a:t>
          </a:r>
          <a:r>
            <a:rPr lang="en-US" altLang="ko-KR" sz="1100" b="0" i="0" u="none" strike="noStrike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w</a:t>
          </a:r>
          <a:r>
            <a:rPr lang="ko-KR" altLang="en-US" sz="1100" b="0" i="0" u="none" strike="noStrike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를 더한다</a:t>
          </a:r>
          <a:r>
            <a:rPr lang="en-US" altLang="ko-KR" sz="1100" b="0" i="0" u="none" strike="noStrike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br>
            <a:rPr lang="en-US" altLang="ko-KR" sz="1100" b="0" i="0" u="none" strike="noStrike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</a:br>
          <a:r>
            <a:rPr lang="en-US" altLang="ko-KR" sz="1100" b="0" i="0" u="none" strike="noStrike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                                                 : </a:t>
          </a:r>
          <a:r>
            <a:rPr lang="en-US" altLang="ko-KR" sz="1100" b="1" i="0" u="none" strike="noStrike" baseline="0">
              <a:solidFill>
                <a:schemeClr val="accent5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A[er+1][ec+1] += w</a:t>
          </a:r>
        </a:p>
        <a:p>
          <a:r>
            <a:rPr lang="en-US" altLang="ko-KR" sz="1100" b="0" i="0" u="none" strike="noStrike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2. </a:t>
          </a:r>
          <a:r>
            <a:rPr lang="ko-KR" altLang="en-US" sz="1100" b="0" i="0" u="none" strike="noStrike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연속구간합 구하고 출력한다</a:t>
          </a:r>
          <a:r>
            <a:rPr lang="en-US" altLang="ko-KR" sz="1100" b="0" i="0" u="none" strike="noStrike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</a:p>
        <a:p>
          <a:r>
            <a:rPr lang="en-US" altLang="ko-KR" sz="1100" b="0" i="0" u="none" strike="noStrike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     </a:t>
          </a:r>
          <a:r>
            <a:rPr lang="en-US" altLang="ko-KR" sz="1100" b="1" i="0" u="none" strike="noStrike" baseline="0">
              <a:solidFill>
                <a:schemeClr val="accent5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S[i][j] = S[i][j-1] + S[i</a:t>
          </a:r>
          <a:r>
            <a:rPr lang="en-US" altLang="ko-KR" sz="1100" b="1" i="0" baseline="0">
              <a:solidFill>
                <a:schemeClr val="accent5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-1</a:t>
          </a:r>
          <a:r>
            <a:rPr lang="en-US" altLang="ko-KR" sz="1100" b="1" i="0" u="none" strike="noStrike" baseline="0">
              <a:solidFill>
                <a:schemeClr val="accent5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][j] - S[i-1][j-1] + A[i][j]</a:t>
          </a:r>
        </a:p>
        <a:p>
          <a:endParaRPr lang="en-US" altLang="ko-KR" sz="1100" b="0" i="0" u="none" strike="noStrike">
            <a:solidFill>
              <a:schemeClr val="dk1"/>
            </a:solidFill>
            <a:effectLst/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en-US" altLang="ko-KR" sz="1100" b="0" i="0" u="none" strike="noStrike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N Q</a:t>
          </a:r>
        </a:p>
        <a:p>
          <a:r>
            <a:rPr lang="en-US" altLang="ko-KR" sz="1100" b="0" i="0" u="none" strike="noStrike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5 4</a:t>
          </a:r>
          <a:r>
            <a:rPr lang="ko-KR" altLang="en-US">
              <a:latin typeface="D2Coding" panose="020B0609020101020101" pitchFamily="49" charset="-127"/>
              <a:ea typeface="D2Coding" panose="020B0609020101020101" pitchFamily="49" charset="-127"/>
            </a:rPr>
            <a:t> </a:t>
          </a:r>
          <a:endParaRPr lang="en-US" altLang="ko-KR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 b="0" i="0" u="none" strike="noStrike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1 2 3 4 1</a:t>
          </a:r>
          <a:r>
            <a:rPr lang="ko-KR" altLang="en-US">
              <a:latin typeface="D2Coding" panose="020B0609020101020101" pitchFamily="49" charset="-127"/>
              <a:ea typeface="D2Coding" panose="020B0609020101020101" pitchFamily="49" charset="-127"/>
            </a:rPr>
            <a:t> </a:t>
          </a:r>
          <a:endParaRPr lang="en-US" altLang="ko-KR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 b="0" i="0" u="none" strike="noStrike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2 1 4 3 2</a:t>
          </a:r>
          <a:r>
            <a:rPr lang="ko-KR" altLang="en-US">
              <a:latin typeface="D2Coding" panose="020B0609020101020101" pitchFamily="49" charset="-127"/>
              <a:ea typeface="D2Coding" panose="020B0609020101020101" pitchFamily="49" charset="-127"/>
            </a:rPr>
            <a:t> </a:t>
          </a:r>
          <a:endParaRPr lang="en-US" altLang="ko-KR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 b="0" i="0" u="none" strike="noStrike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3 3 5 5 3</a:t>
          </a:r>
          <a:r>
            <a:rPr lang="ko-KR" altLang="en-US">
              <a:latin typeface="D2Coding" panose="020B0609020101020101" pitchFamily="49" charset="-127"/>
              <a:ea typeface="D2Coding" panose="020B0609020101020101" pitchFamily="49" charset="-127"/>
            </a:rPr>
            <a:t> </a:t>
          </a:r>
          <a:endParaRPr lang="en-US" altLang="ko-KR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 b="0" i="0" u="none" strike="noStrike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1 3 4 3 4</a:t>
          </a:r>
          <a:r>
            <a:rPr lang="ko-KR" altLang="en-US">
              <a:latin typeface="D2Coding" panose="020B0609020101020101" pitchFamily="49" charset="-127"/>
              <a:ea typeface="D2Coding" panose="020B0609020101020101" pitchFamily="49" charset="-127"/>
            </a:rPr>
            <a:t> </a:t>
          </a:r>
          <a:endParaRPr lang="ko-KR" altLang="en-US" sz="1100">
            <a:latin typeface="D2Coding" panose="020B0609020101020101" pitchFamily="49" charset="-127"/>
            <a:ea typeface="D2Coding" panose="020B0609020101020101" pitchFamily="49" charset="-127"/>
          </a:endParaRPr>
        </a:p>
      </xdr:txBody>
    </xdr:sp>
    <xdr:clientData/>
  </xdr:twoCellAnchor>
  <xdr:twoCellAnchor>
    <xdr:from>
      <xdr:col>12</xdr:col>
      <xdr:colOff>122543</xdr:colOff>
      <xdr:row>18</xdr:row>
      <xdr:rowOff>164495</xdr:rowOff>
    </xdr:from>
    <xdr:to>
      <xdr:col>19</xdr:col>
      <xdr:colOff>7336</xdr:colOff>
      <xdr:row>19</xdr:row>
      <xdr:rowOff>173113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B3204DA-B21E-4B14-AD3C-E323476AB281}"/>
            </a:ext>
          </a:extLst>
        </xdr:cNvPr>
        <xdr:cNvSpPr txBox="1"/>
      </xdr:nvSpPr>
      <xdr:spPr>
        <a:xfrm>
          <a:off x="3315323" y="4149755"/>
          <a:ext cx="1591673" cy="2295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O(Q</a:t>
          </a:r>
          <a:r>
            <a:rPr lang="en-US" altLang="ko-KR" sz="1100" baseline="0"/>
            <a:t> + N</a:t>
          </a:r>
          <a:r>
            <a:rPr lang="en-US" altLang="ko-KR" sz="1100"/>
            <a:t>)</a:t>
          </a:r>
          <a:endParaRPr lang="ko-KR" altLang="en-US" sz="1100"/>
        </a:p>
      </xdr:txBody>
    </xdr:sp>
    <xdr:clientData/>
  </xdr:twoCellAnchor>
  <xdr:twoCellAnchor>
    <xdr:from>
      <xdr:col>2</xdr:col>
      <xdr:colOff>15897</xdr:colOff>
      <xdr:row>34</xdr:row>
      <xdr:rowOff>124812</xdr:rowOff>
    </xdr:from>
    <xdr:to>
      <xdr:col>22</xdr:col>
      <xdr:colOff>159923</xdr:colOff>
      <xdr:row>36</xdr:row>
      <xdr:rowOff>68450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558FF0F0-46FF-42D7-AF87-D90F2B7841F7}"/>
            </a:ext>
          </a:extLst>
        </xdr:cNvPr>
        <xdr:cNvSpPr/>
      </xdr:nvSpPr>
      <xdr:spPr>
        <a:xfrm>
          <a:off x="777897" y="7508329"/>
          <a:ext cx="5136440" cy="37719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>
              <a:latin typeface="D2Coding" panose="020B0609020101020101" pitchFamily="49" charset="-127"/>
              <a:ea typeface="D2Coding" panose="020B0609020101020101" pitchFamily="49" charset="-127"/>
            </a:rPr>
            <a:t>2</a:t>
          </a:r>
          <a:r>
            <a:rPr lang="ko-KR" altLang="en-US" sz="1200">
              <a:latin typeface="D2Coding" panose="020B0609020101020101" pitchFamily="49" charset="-127"/>
              <a:ea typeface="D2Coding" panose="020B0609020101020101" pitchFamily="49" charset="-127"/>
            </a:rPr>
            <a:t>차원에서의 처리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361949</xdr:colOff>
      <xdr:row>1</xdr:row>
      <xdr:rowOff>190500</xdr:rowOff>
    </xdr:from>
    <xdr:to>
      <xdr:col>19</xdr:col>
      <xdr:colOff>131379</xdr:colOff>
      <xdr:row>29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EC4A8A5-AD05-485C-AC76-14991551CDB1}"/>
            </a:ext>
          </a:extLst>
        </xdr:cNvPr>
        <xdr:cNvSpPr txBox="1"/>
      </xdr:nvSpPr>
      <xdr:spPr>
        <a:xfrm>
          <a:off x="872489" y="419100"/>
          <a:ext cx="6215950" cy="61017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[</a:t>
          </a:r>
          <a:r>
            <a:rPr lang="ko-KR" altLang="en-US" sz="1100"/>
            <a:t>문제 개요</a:t>
          </a:r>
          <a:r>
            <a:rPr lang="en-US" altLang="ko-KR" sz="1100"/>
            <a:t>]</a:t>
          </a:r>
        </a:p>
        <a:p>
          <a:r>
            <a:rPr lang="en-US" altLang="ko-KR" sz="1100"/>
            <a:t>10</a:t>
          </a:r>
          <a:r>
            <a:rPr lang="ko-KR" altLang="en-US" sz="1100"/>
            <a:t>만개의 산성</a:t>
          </a:r>
          <a:r>
            <a:rPr lang="en-US" altLang="ko-KR" sz="1100"/>
            <a:t>(</a:t>
          </a:r>
          <a:r>
            <a:rPr lang="ko-KR" altLang="en-US" sz="1100"/>
            <a:t>양수</a:t>
          </a:r>
          <a:r>
            <a:rPr lang="en-US" altLang="ko-KR" sz="1100"/>
            <a:t>), </a:t>
          </a:r>
          <a:r>
            <a:rPr lang="en-US" altLang="ko-KR" sz="1100" baseline="0"/>
            <a:t> </a:t>
          </a:r>
          <a:r>
            <a:rPr lang="ko-KR" altLang="en-US" sz="1100" baseline="0"/>
            <a:t>알칼리</a:t>
          </a:r>
          <a:r>
            <a:rPr lang="ko-KR" altLang="en-US" sz="1100"/>
            <a:t>성</a:t>
          </a:r>
          <a:r>
            <a:rPr lang="en-US" altLang="ko-KR" sz="1100"/>
            <a:t>(</a:t>
          </a:r>
          <a:r>
            <a:rPr lang="ko-KR" altLang="en-US" sz="1100"/>
            <a:t>음수</a:t>
          </a:r>
          <a:r>
            <a:rPr lang="en-US" altLang="ko-KR" sz="1100"/>
            <a:t>) </a:t>
          </a:r>
          <a:r>
            <a:rPr lang="ko-KR" altLang="en-US" sz="1100" b="1">
              <a:solidFill>
                <a:srgbClr val="FF0000"/>
              </a:solidFill>
            </a:rPr>
            <a:t>용액이  오름차순 정렬된 상태로 주어진다</a:t>
          </a:r>
          <a:r>
            <a:rPr lang="en-US" altLang="ko-KR" sz="1100"/>
            <a:t>.  </a:t>
          </a:r>
          <a:br>
            <a:rPr lang="en-US" altLang="ko-KR" sz="1100"/>
          </a:br>
          <a:r>
            <a:rPr lang="ko-KR" altLang="en-US" sz="1100"/>
            <a:t>용액의 범위는 </a:t>
          </a:r>
          <a:r>
            <a:rPr lang="en-US" altLang="ko-KR" sz="1100"/>
            <a:t>-10</a:t>
          </a:r>
          <a:r>
            <a:rPr lang="ko-KR" altLang="en-US" sz="1100"/>
            <a:t>억 </a:t>
          </a:r>
          <a:r>
            <a:rPr lang="en-US" altLang="ko-KR" sz="1100"/>
            <a:t>~</a:t>
          </a:r>
          <a:r>
            <a:rPr lang="en-US" altLang="ko-KR" sz="1100" baseline="0"/>
            <a:t> </a:t>
          </a:r>
          <a:r>
            <a:rPr lang="en-US" altLang="ko-KR" sz="1100"/>
            <a:t>10</a:t>
          </a:r>
          <a:r>
            <a:rPr lang="ko-KR" altLang="en-US" sz="1100"/>
            <a:t>억 이며 모두 다른값이다</a:t>
          </a:r>
          <a:r>
            <a:rPr lang="en-US" altLang="ko-KR" sz="1100"/>
            <a:t>.</a:t>
          </a:r>
        </a:p>
        <a:p>
          <a:r>
            <a:rPr lang="ko-KR" altLang="en-US" sz="1100"/>
            <a:t>임의의 서로 다른 </a:t>
          </a:r>
          <a:r>
            <a:rPr lang="en-US" altLang="ko-KR" sz="1100"/>
            <a:t>2</a:t>
          </a:r>
          <a:r>
            <a:rPr lang="ko-KR" altLang="en-US" sz="1100"/>
            <a:t>개 용액을 선택하여 더한 결과가 </a:t>
          </a:r>
          <a:r>
            <a:rPr lang="en-US" altLang="ko-KR" sz="1100"/>
            <a:t>0</a:t>
          </a:r>
          <a:r>
            <a:rPr lang="ko-KR" altLang="en-US" sz="1100"/>
            <a:t>에 가장 가까운 두 용액을 찾아</a:t>
          </a:r>
          <a:endParaRPr lang="en-US" altLang="ko-KR" sz="1100"/>
        </a:p>
        <a:p>
          <a:r>
            <a:rPr lang="ko-KR" altLang="en-US" sz="1100"/>
            <a:t>오름차순으로 한 줄에 출력하라</a:t>
          </a:r>
          <a:r>
            <a:rPr lang="en-US" altLang="ko-KR" sz="1100"/>
            <a:t>. </a:t>
          </a:r>
          <a:r>
            <a:rPr lang="ko-KR" altLang="en-US" sz="1100"/>
            <a:t>여러가지가 있다면 아무거나 한가지만 출력한다</a:t>
          </a:r>
          <a:r>
            <a:rPr lang="en-US" altLang="ko-KR" sz="1100"/>
            <a:t>.</a:t>
          </a:r>
        </a:p>
        <a:p>
          <a:endParaRPr lang="en-US" altLang="ko-KR" sz="1100"/>
        </a:p>
        <a:p>
          <a:r>
            <a:rPr lang="en-US" altLang="ko-KR" sz="1100"/>
            <a:t>[</a:t>
          </a:r>
          <a:r>
            <a:rPr lang="ko-KR" altLang="en-US" sz="1100"/>
            <a:t>문제 분석</a:t>
          </a:r>
          <a:r>
            <a:rPr lang="en-US" altLang="ko-KR" sz="1100"/>
            <a:t>]</a:t>
          </a:r>
        </a:p>
        <a:p>
          <a:r>
            <a:rPr lang="en-US" altLang="ko-KR" sz="1100"/>
            <a:t>1.  10</a:t>
          </a:r>
          <a:r>
            <a:rPr lang="ko-KR" altLang="en-US" sz="1100"/>
            <a:t>만개중에 </a:t>
          </a:r>
          <a:r>
            <a:rPr lang="en-US" altLang="ko-KR" sz="1100"/>
            <a:t>2</a:t>
          </a:r>
          <a:r>
            <a:rPr lang="ko-KR" altLang="en-US" sz="1100"/>
            <a:t>개를 선택하는 경우의 수는 </a:t>
          </a:r>
          <a:r>
            <a:rPr lang="en-US" altLang="ko-KR" sz="1100"/>
            <a:t>100,000*  99,999  / 2</a:t>
          </a:r>
          <a:r>
            <a:rPr lang="ko-KR" altLang="en-US" sz="1100"/>
            <a:t>이므로 </a:t>
          </a:r>
          <a:br>
            <a:rPr lang="en-US" altLang="ko-KR" sz="1100"/>
          </a:br>
          <a:r>
            <a:rPr lang="en-US" altLang="ko-KR" sz="1100"/>
            <a:t>       </a:t>
          </a:r>
          <a:r>
            <a:rPr lang="ko-KR" altLang="en-US" sz="1100"/>
            <a:t>시간복잡도는 </a:t>
          </a:r>
          <a:r>
            <a:rPr lang="en-US" altLang="ko-KR" sz="1100"/>
            <a:t>O(100,000</a:t>
          </a:r>
          <a:r>
            <a:rPr lang="en-US" altLang="ko-KR" sz="1100" baseline="30000"/>
            <a:t>2</a:t>
          </a:r>
          <a:r>
            <a:rPr lang="en-US" altLang="ko-KR" sz="1100"/>
            <a:t>)</a:t>
          </a:r>
          <a:r>
            <a:rPr lang="en-US" altLang="ko-KR" sz="1100" baseline="0"/>
            <a:t> </a:t>
          </a:r>
          <a:r>
            <a:rPr lang="ko-KR" altLang="en-US" sz="1100" baseline="0"/>
            <a:t>이다</a:t>
          </a:r>
          <a:r>
            <a:rPr lang="en-US" altLang="ko-KR" sz="1100" baseline="0"/>
            <a:t>.</a:t>
          </a:r>
          <a:endParaRPr lang="en-US" altLang="ko-KR" sz="1100"/>
        </a:p>
        <a:p>
          <a:r>
            <a:rPr lang="en-US" altLang="ko-KR" sz="1100"/>
            <a:t>2. 1</a:t>
          </a:r>
          <a:r>
            <a:rPr lang="ko-KR" altLang="en-US" sz="1100"/>
            <a:t>초에 실행가능한 반복수는 </a:t>
          </a:r>
          <a:r>
            <a:rPr lang="en-US" altLang="ko-KR" sz="1100"/>
            <a:t>1</a:t>
          </a:r>
          <a:r>
            <a:rPr lang="ko-KR" altLang="en-US" sz="1100"/>
            <a:t>억</a:t>
          </a:r>
          <a:r>
            <a:rPr lang="en-US" altLang="ko-KR" sz="1100"/>
            <a:t>~5</a:t>
          </a:r>
          <a:r>
            <a:rPr lang="ko-KR" altLang="en-US" sz="1100"/>
            <a:t>억이므로 시간초과가 예상된다</a:t>
          </a:r>
          <a:r>
            <a:rPr lang="en-US" altLang="ko-KR" sz="1100"/>
            <a:t>.</a:t>
          </a:r>
        </a:p>
        <a:p>
          <a:r>
            <a:rPr lang="en-US" altLang="ko-KR" sz="1100"/>
            <a:t>     </a:t>
          </a:r>
          <a:r>
            <a:rPr lang="ko-KR" altLang="en-US" sz="1100"/>
            <a:t>어떻게 해야 할 까</a:t>
          </a:r>
          <a:r>
            <a:rPr lang="en-US" altLang="ko-KR" sz="1100"/>
            <a:t>?</a:t>
          </a:r>
        </a:p>
        <a:p>
          <a:r>
            <a:rPr lang="en-US" altLang="ko-KR" sz="1100"/>
            <a:t>3. </a:t>
          </a:r>
          <a:r>
            <a:rPr lang="ko-KR" altLang="en-US" sz="1100"/>
            <a:t>정렬된 상태로 주어진 이유가 있을까</a:t>
          </a:r>
          <a:r>
            <a:rPr lang="en-US" altLang="ko-KR" sz="1100"/>
            <a:t>?</a:t>
          </a:r>
        </a:p>
        <a:p>
          <a:endParaRPr lang="en-US" altLang="ko-KR" sz="1100"/>
        </a:p>
        <a:p>
          <a:r>
            <a:rPr lang="en-US" altLang="ko-KR" sz="1100"/>
            <a:t>[</a:t>
          </a:r>
          <a:r>
            <a:rPr lang="ko-KR" altLang="en-US" sz="1100"/>
            <a:t>해법 연구</a:t>
          </a:r>
          <a:r>
            <a:rPr lang="en-US" altLang="ko-KR" sz="1100"/>
            <a:t>1]</a:t>
          </a:r>
        </a:p>
        <a:p>
          <a:pPr eaLnBrk="1" fontAlgn="auto" latinLnBrk="0" hangingPunct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모두가 양수이거나 모두가 음수인 경우 절대값이 가장 작은 수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가 답이 된다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pPr eaLnBrk="1" fontAlgn="auto" latinLnBrk="0" hangingPunct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양수와 음수가 섞여 있는 경우라면 다음의 경우중에 답이 존재한다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b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ko-KR" altLang="ko-KR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절대값의 오름차순으로 정렬했을때</a:t>
          </a:r>
          <a:r>
            <a:rPr lang="en-US" altLang="ko-KR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이웃한 두 수의 합을 구한 후</a:t>
          </a:r>
          <a:r>
            <a:rPr lang="en-US" altLang="ko-KR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ko-KR" altLang="ko-KR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절대값이 최소인 두 수</a:t>
          </a:r>
          <a:r>
            <a:rPr lang="ko-KR" altLang="en-US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구한다</a:t>
          </a:r>
          <a:r>
            <a:rPr lang="en-US" altLang="ko-KR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en-US" altLang="ko-KR" sz="1100"/>
            <a:t>3.</a:t>
          </a:r>
          <a:r>
            <a:rPr lang="en-US" altLang="ko-KR" sz="1100" baseline="0"/>
            <a:t> </a:t>
          </a:r>
          <a:r>
            <a:rPr lang="ko-KR" altLang="en-US" sz="1100" baseline="0"/>
            <a:t>시간복잡도는 절대값이 오름차순 정렬이 필요하므로 </a:t>
          </a:r>
          <a:r>
            <a:rPr lang="en-US" altLang="ko-KR" sz="1100" baseline="0"/>
            <a:t>O(NlogN)</a:t>
          </a:r>
          <a:endParaRPr lang="en-US" altLang="ko-KR" sz="1100"/>
        </a:p>
        <a:p>
          <a:endParaRPr lang="en-US" altLang="ko-KR" sz="1100"/>
        </a:p>
        <a:p>
          <a:r>
            <a:rPr lang="en-US" altLang="ko-KR" sz="1100"/>
            <a:t>[</a:t>
          </a:r>
          <a:r>
            <a:rPr lang="ko-KR" altLang="en-US" sz="1100"/>
            <a:t>해법 연구</a:t>
          </a:r>
          <a:r>
            <a:rPr lang="en-US" altLang="ko-KR" sz="1100"/>
            <a:t>2]</a:t>
          </a:r>
        </a:p>
        <a:p>
          <a:r>
            <a:rPr lang="en-US" altLang="ko-KR" sz="1100"/>
            <a:t>1.</a:t>
          </a:r>
          <a:r>
            <a:rPr lang="en-US" altLang="ko-KR" sz="1100" baseline="0"/>
            <a:t> </a:t>
          </a:r>
          <a:r>
            <a:rPr lang="ko-KR" altLang="en-US" sz="1100" baseline="0"/>
            <a:t>기본값에 대하여 오름차순 정렬된 상태로 주어지므로</a:t>
          </a:r>
          <a:br>
            <a:rPr lang="en-US" altLang="ko-KR" sz="1100" baseline="0"/>
          </a:br>
          <a:r>
            <a:rPr lang="en-US" altLang="ko-KR" sz="1100" baseline="0"/>
            <a:t>    </a:t>
          </a:r>
          <a:r>
            <a:rPr lang="ko-KR" altLang="en-US" sz="1100" baseline="0"/>
            <a:t>입력된 데이터에 대하여 </a:t>
          </a:r>
          <a:r>
            <a:rPr lang="en-US" altLang="ko-KR" sz="1100" baseline="0"/>
            <a:t>two pointer </a:t>
          </a:r>
          <a:r>
            <a:rPr lang="ko-KR" altLang="en-US" sz="1100" baseline="0"/>
            <a:t>기법을 이용할 수 있다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    </a:t>
          </a:r>
          <a:r>
            <a:rPr lang="ko-KR" altLang="en-US" sz="1100" baseline="0"/>
            <a:t>아래 예를 보자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2.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시간복잡도는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O(N)</a:t>
          </a:r>
          <a:endParaRPr lang="en-US" altLang="ko-KR" sz="1100"/>
        </a:p>
      </xdr:txBody>
    </xdr:sp>
    <xdr:clientData/>
  </xdr:twoCellAnchor>
  <xdr:twoCellAnchor>
    <xdr:from>
      <xdr:col>2</xdr:col>
      <xdr:colOff>302433</xdr:colOff>
      <xdr:row>29</xdr:row>
      <xdr:rowOff>194113</xdr:rowOff>
    </xdr:from>
    <xdr:to>
      <xdr:col>4</xdr:col>
      <xdr:colOff>108804</xdr:colOff>
      <xdr:row>31</xdr:row>
      <xdr:rowOff>194114</xdr:rowOff>
    </xdr:to>
    <xdr:sp macro="" textlink="">
      <xdr:nvSpPr>
        <xdr:cNvPr id="3" name="아래쪽 화살표 설명선 2">
          <a:extLst>
            <a:ext uri="{FF2B5EF4-FFF2-40B4-BE49-F238E27FC236}">
              <a16:creationId xmlns:a16="http://schemas.microsoft.com/office/drawing/2014/main" id="{E62FE564-7FF6-446D-89FE-63EEAF361F01}"/>
            </a:ext>
          </a:extLst>
        </xdr:cNvPr>
        <xdr:cNvSpPr/>
      </xdr:nvSpPr>
      <xdr:spPr>
        <a:xfrm>
          <a:off x="1171113" y="6610153"/>
          <a:ext cx="522651" cy="441961"/>
        </a:xfrm>
        <a:prstGeom prst="downArrow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left</a:t>
          </a:r>
          <a:endParaRPr lang="ko-KR" altLang="en-US" sz="1100"/>
        </a:p>
      </xdr:txBody>
    </xdr:sp>
    <xdr:clientData/>
  </xdr:twoCellAnchor>
  <xdr:twoCellAnchor>
    <xdr:from>
      <xdr:col>11</xdr:col>
      <xdr:colOff>310314</xdr:colOff>
      <xdr:row>29</xdr:row>
      <xdr:rowOff>180975</xdr:rowOff>
    </xdr:from>
    <xdr:to>
      <xdr:col>13</xdr:col>
      <xdr:colOff>34089</xdr:colOff>
      <xdr:row>31</xdr:row>
      <xdr:rowOff>180975</xdr:rowOff>
    </xdr:to>
    <xdr:sp macro="" textlink="">
      <xdr:nvSpPr>
        <xdr:cNvPr id="4" name="아래쪽 화살표 설명선 3">
          <a:extLst>
            <a:ext uri="{FF2B5EF4-FFF2-40B4-BE49-F238E27FC236}">
              <a16:creationId xmlns:a16="http://schemas.microsoft.com/office/drawing/2014/main" id="{C9A4B0BF-63BD-41EE-854E-67AB64E85922}"/>
            </a:ext>
          </a:extLst>
        </xdr:cNvPr>
        <xdr:cNvSpPr/>
      </xdr:nvSpPr>
      <xdr:spPr>
        <a:xfrm>
          <a:off x="4402254" y="6597015"/>
          <a:ext cx="440055" cy="441960"/>
        </a:xfrm>
        <a:prstGeom prst="downArrow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right</a:t>
          </a:r>
        </a:p>
      </xdr:txBody>
    </xdr:sp>
    <xdr:clientData/>
  </xdr:twoCellAnchor>
  <xdr:twoCellAnchor>
    <xdr:from>
      <xdr:col>3</xdr:col>
      <xdr:colOff>390525</xdr:colOff>
      <xdr:row>35</xdr:row>
      <xdr:rowOff>161925</xdr:rowOff>
    </xdr:from>
    <xdr:to>
      <xdr:col>5</xdr:col>
      <xdr:colOff>95250</xdr:colOff>
      <xdr:row>37</xdr:row>
      <xdr:rowOff>161925</xdr:rowOff>
    </xdr:to>
    <xdr:sp macro="" textlink="">
      <xdr:nvSpPr>
        <xdr:cNvPr id="5" name="아래쪽 화살표 설명선 4">
          <a:extLst>
            <a:ext uri="{FF2B5EF4-FFF2-40B4-BE49-F238E27FC236}">
              <a16:creationId xmlns:a16="http://schemas.microsoft.com/office/drawing/2014/main" id="{F988686A-71DF-456D-A111-0DA04006695F}"/>
            </a:ext>
          </a:extLst>
        </xdr:cNvPr>
        <xdr:cNvSpPr/>
      </xdr:nvSpPr>
      <xdr:spPr>
        <a:xfrm>
          <a:off x="1586865" y="7903845"/>
          <a:ext cx="451485" cy="441960"/>
        </a:xfrm>
        <a:prstGeom prst="downArrow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left</a:t>
          </a:r>
          <a:endParaRPr lang="ko-KR" altLang="en-US" sz="1100"/>
        </a:p>
      </xdr:txBody>
    </xdr:sp>
    <xdr:clientData/>
  </xdr:twoCellAnchor>
  <xdr:twoCellAnchor>
    <xdr:from>
      <xdr:col>11</xdr:col>
      <xdr:colOff>409575</xdr:colOff>
      <xdr:row>35</xdr:row>
      <xdr:rowOff>180975</xdr:rowOff>
    </xdr:from>
    <xdr:to>
      <xdr:col>13</xdr:col>
      <xdr:colOff>114300</xdr:colOff>
      <xdr:row>37</xdr:row>
      <xdr:rowOff>180975</xdr:rowOff>
    </xdr:to>
    <xdr:sp macro="" textlink="">
      <xdr:nvSpPr>
        <xdr:cNvPr id="6" name="아래쪽 화살표 설명선 5">
          <a:extLst>
            <a:ext uri="{FF2B5EF4-FFF2-40B4-BE49-F238E27FC236}">
              <a16:creationId xmlns:a16="http://schemas.microsoft.com/office/drawing/2014/main" id="{B36F9A8F-069E-415C-97FF-B8B2BB133145}"/>
            </a:ext>
          </a:extLst>
        </xdr:cNvPr>
        <xdr:cNvSpPr/>
      </xdr:nvSpPr>
      <xdr:spPr>
        <a:xfrm>
          <a:off x="4448175" y="7922895"/>
          <a:ext cx="474345" cy="441960"/>
        </a:xfrm>
        <a:prstGeom prst="downArrow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right</a:t>
          </a:r>
        </a:p>
      </xdr:txBody>
    </xdr:sp>
    <xdr:clientData/>
  </xdr:twoCellAnchor>
  <xdr:twoCellAnchor>
    <xdr:from>
      <xdr:col>3</xdr:col>
      <xdr:colOff>390525</xdr:colOff>
      <xdr:row>42</xdr:row>
      <xdr:rowOff>161925</xdr:rowOff>
    </xdr:from>
    <xdr:to>
      <xdr:col>5</xdr:col>
      <xdr:colOff>95250</xdr:colOff>
      <xdr:row>44</xdr:row>
      <xdr:rowOff>161925</xdr:rowOff>
    </xdr:to>
    <xdr:sp macro="" textlink="">
      <xdr:nvSpPr>
        <xdr:cNvPr id="7" name="아래쪽 화살표 설명선 6">
          <a:extLst>
            <a:ext uri="{FF2B5EF4-FFF2-40B4-BE49-F238E27FC236}">
              <a16:creationId xmlns:a16="http://schemas.microsoft.com/office/drawing/2014/main" id="{0511F20B-E916-4D38-A893-6195B299C2BA}"/>
            </a:ext>
          </a:extLst>
        </xdr:cNvPr>
        <xdr:cNvSpPr/>
      </xdr:nvSpPr>
      <xdr:spPr>
        <a:xfrm>
          <a:off x="1586865" y="9450705"/>
          <a:ext cx="451485" cy="441960"/>
        </a:xfrm>
        <a:prstGeom prst="downArrow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left</a:t>
          </a:r>
          <a:endParaRPr lang="ko-KR" altLang="en-US" sz="1100"/>
        </a:p>
      </xdr:txBody>
    </xdr:sp>
    <xdr:clientData/>
  </xdr:twoCellAnchor>
  <xdr:twoCellAnchor>
    <xdr:from>
      <xdr:col>10</xdr:col>
      <xdr:colOff>419100</xdr:colOff>
      <xdr:row>42</xdr:row>
      <xdr:rowOff>161925</xdr:rowOff>
    </xdr:from>
    <xdr:to>
      <xdr:col>12</xdr:col>
      <xdr:colOff>123825</xdr:colOff>
      <xdr:row>44</xdr:row>
      <xdr:rowOff>161925</xdr:rowOff>
    </xdr:to>
    <xdr:sp macro="" textlink="">
      <xdr:nvSpPr>
        <xdr:cNvPr id="8" name="아래쪽 화살표 설명선 7">
          <a:extLst>
            <a:ext uri="{FF2B5EF4-FFF2-40B4-BE49-F238E27FC236}">
              <a16:creationId xmlns:a16="http://schemas.microsoft.com/office/drawing/2014/main" id="{59B6DEBE-F285-4FCD-8B38-E5F958340C6C}"/>
            </a:ext>
          </a:extLst>
        </xdr:cNvPr>
        <xdr:cNvSpPr/>
      </xdr:nvSpPr>
      <xdr:spPr>
        <a:xfrm>
          <a:off x="4091940" y="9450705"/>
          <a:ext cx="481965" cy="441960"/>
        </a:xfrm>
        <a:prstGeom prst="downArrow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right</a:t>
          </a:r>
        </a:p>
      </xdr:txBody>
    </xdr:sp>
    <xdr:clientData/>
  </xdr:twoCellAnchor>
  <xdr:twoCellAnchor>
    <xdr:from>
      <xdr:col>4</xdr:col>
      <xdr:colOff>409575</xdr:colOff>
      <xdr:row>49</xdr:row>
      <xdr:rowOff>161925</xdr:rowOff>
    </xdr:from>
    <xdr:to>
      <xdr:col>6</xdr:col>
      <xdr:colOff>114300</xdr:colOff>
      <xdr:row>51</xdr:row>
      <xdr:rowOff>161925</xdr:rowOff>
    </xdr:to>
    <xdr:sp macro="" textlink="">
      <xdr:nvSpPr>
        <xdr:cNvPr id="9" name="아래쪽 화살표 설명선 8">
          <a:extLst>
            <a:ext uri="{FF2B5EF4-FFF2-40B4-BE49-F238E27FC236}">
              <a16:creationId xmlns:a16="http://schemas.microsoft.com/office/drawing/2014/main" id="{8DA34BA1-0852-43AE-95E8-10B9CC38AAB4}"/>
            </a:ext>
          </a:extLst>
        </xdr:cNvPr>
        <xdr:cNvSpPr/>
      </xdr:nvSpPr>
      <xdr:spPr>
        <a:xfrm>
          <a:off x="1941195" y="10997565"/>
          <a:ext cx="474345" cy="441960"/>
        </a:xfrm>
        <a:prstGeom prst="downArrow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left</a:t>
          </a:r>
          <a:endParaRPr lang="ko-KR" altLang="en-US" sz="1100"/>
        </a:p>
      </xdr:txBody>
    </xdr:sp>
    <xdr:clientData/>
  </xdr:twoCellAnchor>
  <xdr:twoCellAnchor>
    <xdr:from>
      <xdr:col>10</xdr:col>
      <xdr:colOff>419100</xdr:colOff>
      <xdr:row>49</xdr:row>
      <xdr:rowOff>161925</xdr:rowOff>
    </xdr:from>
    <xdr:to>
      <xdr:col>12</xdr:col>
      <xdr:colOff>123825</xdr:colOff>
      <xdr:row>51</xdr:row>
      <xdr:rowOff>161925</xdr:rowOff>
    </xdr:to>
    <xdr:sp macro="" textlink="">
      <xdr:nvSpPr>
        <xdr:cNvPr id="10" name="아래쪽 화살표 설명선 9">
          <a:extLst>
            <a:ext uri="{FF2B5EF4-FFF2-40B4-BE49-F238E27FC236}">
              <a16:creationId xmlns:a16="http://schemas.microsoft.com/office/drawing/2014/main" id="{6714D27E-87D0-470A-8D65-6F06DA07133C}"/>
            </a:ext>
          </a:extLst>
        </xdr:cNvPr>
        <xdr:cNvSpPr/>
      </xdr:nvSpPr>
      <xdr:spPr>
        <a:xfrm>
          <a:off x="4091940" y="10997565"/>
          <a:ext cx="481965" cy="441960"/>
        </a:xfrm>
        <a:prstGeom prst="downArrow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right</a:t>
          </a:r>
        </a:p>
      </xdr:txBody>
    </xdr:sp>
    <xdr:clientData/>
  </xdr:twoCellAnchor>
  <xdr:twoCellAnchor>
    <xdr:from>
      <xdr:col>4</xdr:col>
      <xdr:colOff>409575</xdr:colOff>
      <xdr:row>56</xdr:row>
      <xdr:rowOff>161925</xdr:rowOff>
    </xdr:from>
    <xdr:to>
      <xdr:col>6</xdr:col>
      <xdr:colOff>114300</xdr:colOff>
      <xdr:row>58</xdr:row>
      <xdr:rowOff>161925</xdr:rowOff>
    </xdr:to>
    <xdr:sp macro="" textlink="">
      <xdr:nvSpPr>
        <xdr:cNvPr id="11" name="아래쪽 화살표 설명선 10">
          <a:extLst>
            <a:ext uri="{FF2B5EF4-FFF2-40B4-BE49-F238E27FC236}">
              <a16:creationId xmlns:a16="http://schemas.microsoft.com/office/drawing/2014/main" id="{88E054C5-EE53-45B6-A3B9-6C685022DF70}"/>
            </a:ext>
          </a:extLst>
        </xdr:cNvPr>
        <xdr:cNvSpPr/>
      </xdr:nvSpPr>
      <xdr:spPr>
        <a:xfrm>
          <a:off x="1941195" y="12544425"/>
          <a:ext cx="474345" cy="441960"/>
        </a:xfrm>
        <a:prstGeom prst="downArrow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left</a:t>
          </a:r>
          <a:endParaRPr lang="ko-KR" altLang="en-US" sz="1100"/>
        </a:p>
      </xdr:txBody>
    </xdr:sp>
    <xdr:clientData/>
  </xdr:twoCellAnchor>
  <xdr:twoCellAnchor>
    <xdr:from>
      <xdr:col>9</xdr:col>
      <xdr:colOff>390525</xdr:colOff>
      <xdr:row>56</xdr:row>
      <xdr:rowOff>171450</xdr:rowOff>
    </xdr:from>
    <xdr:to>
      <xdr:col>11</xdr:col>
      <xdr:colOff>95250</xdr:colOff>
      <xdr:row>58</xdr:row>
      <xdr:rowOff>171450</xdr:rowOff>
    </xdr:to>
    <xdr:sp macro="" textlink="">
      <xdr:nvSpPr>
        <xdr:cNvPr id="12" name="아래쪽 화살표 설명선 11">
          <a:extLst>
            <a:ext uri="{FF2B5EF4-FFF2-40B4-BE49-F238E27FC236}">
              <a16:creationId xmlns:a16="http://schemas.microsoft.com/office/drawing/2014/main" id="{7305BC91-AC38-42C4-83AF-61D2BEB67F6F}"/>
            </a:ext>
          </a:extLst>
        </xdr:cNvPr>
        <xdr:cNvSpPr/>
      </xdr:nvSpPr>
      <xdr:spPr>
        <a:xfrm>
          <a:off x="3735705" y="12553950"/>
          <a:ext cx="451485" cy="441960"/>
        </a:xfrm>
        <a:prstGeom prst="downArrow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right</a:t>
          </a:r>
        </a:p>
      </xdr:txBody>
    </xdr:sp>
    <xdr:clientData/>
  </xdr:twoCellAnchor>
  <xdr:twoCellAnchor>
    <xdr:from>
      <xdr:col>4</xdr:col>
      <xdr:colOff>409575</xdr:colOff>
      <xdr:row>63</xdr:row>
      <xdr:rowOff>161925</xdr:rowOff>
    </xdr:from>
    <xdr:to>
      <xdr:col>6</xdr:col>
      <xdr:colOff>114300</xdr:colOff>
      <xdr:row>65</xdr:row>
      <xdr:rowOff>161925</xdr:rowOff>
    </xdr:to>
    <xdr:sp macro="" textlink="">
      <xdr:nvSpPr>
        <xdr:cNvPr id="13" name="아래쪽 화살표 설명선 12">
          <a:extLst>
            <a:ext uri="{FF2B5EF4-FFF2-40B4-BE49-F238E27FC236}">
              <a16:creationId xmlns:a16="http://schemas.microsoft.com/office/drawing/2014/main" id="{826E1489-E088-4FEA-810C-471E2713360E}"/>
            </a:ext>
          </a:extLst>
        </xdr:cNvPr>
        <xdr:cNvSpPr/>
      </xdr:nvSpPr>
      <xdr:spPr>
        <a:xfrm>
          <a:off x="1941195" y="14091285"/>
          <a:ext cx="474345" cy="441960"/>
        </a:xfrm>
        <a:prstGeom prst="downArrow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left</a:t>
          </a:r>
          <a:endParaRPr lang="ko-KR" altLang="en-US" sz="1100"/>
        </a:p>
      </xdr:txBody>
    </xdr:sp>
    <xdr:clientData/>
  </xdr:twoCellAnchor>
  <xdr:twoCellAnchor>
    <xdr:from>
      <xdr:col>8</xdr:col>
      <xdr:colOff>400050</xdr:colOff>
      <xdr:row>63</xdr:row>
      <xdr:rowOff>171450</xdr:rowOff>
    </xdr:from>
    <xdr:to>
      <xdr:col>10</xdr:col>
      <xdr:colOff>104775</xdr:colOff>
      <xdr:row>65</xdr:row>
      <xdr:rowOff>171450</xdr:rowOff>
    </xdr:to>
    <xdr:sp macro="" textlink="">
      <xdr:nvSpPr>
        <xdr:cNvPr id="14" name="아래쪽 화살표 설명선 13">
          <a:extLst>
            <a:ext uri="{FF2B5EF4-FFF2-40B4-BE49-F238E27FC236}">
              <a16:creationId xmlns:a16="http://schemas.microsoft.com/office/drawing/2014/main" id="{1C7ABCB5-5E8F-4493-9931-460F30368639}"/>
            </a:ext>
          </a:extLst>
        </xdr:cNvPr>
        <xdr:cNvSpPr/>
      </xdr:nvSpPr>
      <xdr:spPr>
        <a:xfrm>
          <a:off x="3371850" y="14100810"/>
          <a:ext cx="466725" cy="441960"/>
        </a:xfrm>
        <a:prstGeom prst="downArrow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right</a:t>
          </a:r>
        </a:p>
      </xdr:txBody>
    </xdr:sp>
    <xdr:clientData/>
  </xdr:twoCellAnchor>
  <xdr:twoCellAnchor>
    <xdr:from>
      <xdr:col>5</xdr:col>
      <xdr:colOff>447675</xdr:colOff>
      <xdr:row>70</xdr:row>
      <xdr:rowOff>180975</xdr:rowOff>
    </xdr:from>
    <xdr:to>
      <xdr:col>7</xdr:col>
      <xdr:colOff>152400</xdr:colOff>
      <xdr:row>72</xdr:row>
      <xdr:rowOff>180975</xdr:rowOff>
    </xdr:to>
    <xdr:sp macro="" textlink="">
      <xdr:nvSpPr>
        <xdr:cNvPr id="15" name="아래쪽 화살표 설명선 14">
          <a:extLst>
            <a:ext uri="{FF2B5EF4-FFF2-40B4-BE49-F238E27FC236}">
              <a16:creationId xmlns:a16="http://schemas.microsoft.com/office/drawing/2014/main" id="{2F44206D-B9B4-42DA-B849-EE9812B343F8}"/>
            </a:ext>
          </a:extLst>
        </xdr:cNvPr>
        <xdr:cNvSpPr/>
      </xdr:nvSpPr>
      <xdr:spPr>
        <a:xfrm>
          <a:off x="2299335" y="15657195"/>
          <a:ext cx="512445" cy="441960"/>
        </a:xfrm>
        <a:prstGeom prst="downArrow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left</a:t>
          </a:r>
          <a:endParaRPr lang="ko-KR" altLang="en-US" sz="1100"/>
        </a:p>
      </xdr:txBody>
    </xdr:sp>
    <xdr:clientData/>
  </xdr:twoCellAnchor>
  <xdr:twoCellAnchor>
    <xdr:from>
      <xdr:col>8</xdr:col>
      <xdr:colOff>400050</xdr:colOff>
      <xdr:row>70</xdr:row>
      <xdr:rowOff>171450</xdr:rowOff>
    </xdr:from>
    <xdr:to>
      <xdr:col>10</xdr:col>
      <xdr:colOff>104775</xdr:colOff>
      <xdr:row>72</xdr:row>
      <xdr:rowOff>171450</xdr:rowOff>
    </xdr:to>
    <xdr:sp macro="" textlink="">
      <xdr:nvSpPr>
        <xdr:cNvPr id="16" name="아래쪽 화살표 설명선 15">
          <a:extLst>
            <a:ext uri="{FF2B5EF4-FFF2-40B4-BE49-F238E27FC236}">
              <a16:creationId xmlns:a16="http://schemas.microsoft.com/office/drawing/2014/main" id="{87004F28-0BFB-4377-8461-D83CA267306D}"/>
            </a:ext>
          </a:extLst>
        </xdr:cNvPr>
        <xdr:cNvSpPr/>
      </xdr:nvSpPr>
      <xdr:spPr>
        <a:xfrm>
          <a:off x="3371850" y="15647670"/>
          <a:ext cx="466725" cy="441960"/>
        </a:xfrm>
        <a:prstGeom prst="downArrow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right</a:t>
          </a:r>
        </a:p>
      </xdr:txBody>
    </xdr:sp>
    <xdr:clientData/>
  </xdr:twoCellAnchor>
  <xdr:twoCellAnchor>
    <xdr:from>
      <xdr:col>5</xdr:col>
      <xdr:colOff>447675</xdr:colOff>
      <xdr:row>76</xdr:row>
      <xdr:rowOff>180975</xdr:rowOff>
    </xdr:from>
    <xdr:to>
      <xdr:col>7</xdr:col>
      <xdr:colOff>152400</xdr:colOff>
      <xdr:row>78</xdr:row>
      <xdr:rowOff>180975</xdr:rowOff>
    </xdr:to>
    <xdr:sp macro="" textlink="">
      <xdr:nvSpPr>
        <xdr:cNvPr id="17" name="아래쪽 화살표 설명선 16">
          <a:extLst>
            <a:ext uri="{FF2B5EF4-FFF2-40B4-BE49-F238E27FC236}">
              <a16:creationId xmlns:a16="http://schemas.microsoft.com/office/drawing/2014/main" id="{9A2FAE9C-C2C8-4FFF-91C4-22BD7C06483B}"/>
            </a:ext>
          </a:extLst>
        </xdr:cNvPr>
        <xdr:cNvSpPr/>
      </xdr:nvSpPr>
      <xdr:spPr>
        <a:xfrm>
          <a:off x="2299335" y="16983075"/>
          <a:ext cx="512445" cy="441960"/>
        </a:xfrm>
        <a:prstGeom prst="downArrow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left</a:t>
          </a:r>
          <a:endParaRPr lang="ko-KR" altLang="en-US" sz="1100"/>
        </a:p>
      </xdr:txBody>
    </xdr:sp>
    <xdr:clientData/>
  </xdr:twoCellAnchor>
  <xdr:twoCellAnchor>
    <xdr:from>
      <xdr:col>7</xdr:col>
      <xdr:colOff>466725</xdr:colOff>
      <xdr:row>76</xdr:row>
      <xdr:rowOff>190500</xdr:rowOff>
    </xdr:from>
    <xdr:to>
      <xdr:col>9</xdr:col>
      <xdr:colOff>171450</xdr:colOff>
      <xdr:row>78</xdr:row>
      <xdr:rowOff>190500</xdr:rowOff>
    </xdr:to>
    <xdr:sp macro="" textlink="">
      <xdr:nvSpPr>
        <xdr:cNvPr id="18" name="아래쪽 화살표 설명선 17">
          <a:extLst>
            <a:ext uri="{FF2B5EF4-FFF2-40B4-BE49-F238E27FC236}">
              <a16:creationId xmlns:a16="http://schemas.microsoft.com/office/drawing/2014/main" id="{48FCB1A9-5C7B-4A38-8E36-B243E3A410EB}"/>
            </a:ext>
          </a:extLst>
        </xdr:cNvPr>
        <xdr:cNvSpPr/>
      </xdr:nvSpPr>
      <xdr:spPr>
        <a:xfrm>
          <a:off x="3019425" y="16992600"/>
          <a:ext cx="527685" cy="441960"/>
        </a:xfrm>
        <a:prstGeom prst="downArrow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right</a:t>
          </a:r>
        </a:p>
      </xdr:txBody>
    </xdr:sp>
    <xdr:clientData/>
  </xdr:twoCellAnchor>
  <xdr:twoCellAnchor>
    <xdr:from>
      <xdr:col>6</xdr:col>
      <xdr:colOff>485775</xdr:colOff>
      <xdr:row>82</xdr:row>
      <xdr:rowOff>180975</xdr:rowOff>
    </xdr:from>
    <xdr:to>
      <xdr:col>8</xdr:col>
      <xdr:colOff>1</xdr:colOff>
      <xdr:row>84</xdr:row>
      <xdr:rowOff>180975</xdr:rowOff>
    </xdr:to>
    <xdr:sp macro="" textlink="">
      <xdr:nvSpPr>
        <xdr:cNvPr id="19" name="아래쪽 화살표 설명선 18">
          <a:extLst>
            <a:ext uri="{FF2B5EF4-FFF2-40B4-BE49-F238E27FC236}">
              <a16:creationId xmlns:a16="http://schemas.microsoft.com/office/drawing/2014/main" id="{3A6C071C-F40E-4CF4-BACA-AC42EC0F6EB5}"/>
            </a:ext>
          </a:extLst>
        </xdr:cNvPr>
        <xdr:cNvSpPr/>
      </xdr:nvSpPr>
      <xdr:spPr>
        <a:xfrm>
          <a:off x="2657475" y="18308955"/>
          <a:ext cx="360046" cy="441960"/>
        </a:xfrm>
        <a:prstGeom prst="downArrow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left</a:t>
          </a:r>
          <a:endParaRPr lang="ko-KR" altLang="en-US" sz="1100"/>
        </a:p>
      </xdr:txBody>
    </xdr:sp>
    <xdr:clientData/>
  </xdr:twoCellAnchor>
  <xdr:twoCellAnchor>
    <xdr:from>
      <xdr:col>8</xdr:col>
      <xdr:colOff>47625</xdr:colOff>
      <xdr:row>82</xdr:row>
      <xdr:rowOff>190500</xdr:rowOff>
    </xdr:from>
    <xdr:to>
      <xdr:col>9</xdr:col>
      <xdr:colOff>19051</xdr:colOff>
      <xdr:row>84</xdr:row>
      <xdr:rowOff>190500</xdr:rowOff>
    </xdr:to>
    <xdr:sp macro="" textlink="">
      <xdr:nvSpPr>
        <xdr:cNvPr id="20" name="아래쪽 화살표 설명선 19">
          <a:extLst>
            <a:ext uri="{FF2B5EF4-FFF2-40B4-BE49-F238E27FC236}">
              <a16:creationId xmlns:a16="http://schemas.microsoft.com/office/drawing/2014/main" id="{380EF1E3-9C90-4444-83CA-AA53D44E1FAD}"/>
            </a:ext>
          </a:extLst>
        </xdr:cNvPr>
        <xdr:cNvSpPr/>
      </xdr:nvSpPr>
      <xdr:spPr>
        <a:xfrm>
          <a:off x="3065145" y="18318480"/>
          <a:ext cx="329566" cy="441960"/>
        </a:xfrm>
        <a:prstGeom prst="downArrow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right</a:t>
          </a:r>
        </a:p>
      </xdr:txBody>
    </xdr:sp>
    <xdr:clientData/>
  </xdr:twoCellAnchor>
  <xdr:twoCellAnchor>
    <xdr:from>
      <xdr:col>6</xdr:col>
      <xdr:colOff>485775</xdr:colOff>
      <xdr:row>89</xdr:row>
      <xdr:rowOff>180975</xdr:rowOff>
    </xdr:from>
    <xdr:to>
      <xdr:col>8</xdr:col>
      <xdr:colOff>1</xdr:colOff>
      <xdr:row>91</xdr:row>
      <xdr:rowOff>180975</xdr:rowOff>
    </xdr:to>
    <xdr:sp macro="" textlink="">
      <xdr:nvSpPr>
        <xdr:cNvPr id="21" name="아래쪽 화살표 설명선 20">
          <a:extLst>
            <a:ext uri="{FF2B5EF4-FFF2-40B4-BE49-F238E27FC236}">
              <a16:creationId xmlns:a16="http://schemas.microsoft.com/office/drawing/2014/main" id="{B199AA88-3FAD-49F2-BE34-DF2501A9360C}"/>
            </a:ext>
          </a:extLst>
        </xdr:cNvPr>
        <xdr:cNvSpPr/>
      </xdr:nvSpPr>
      <xdr:spPr>
        <a:xfrm>
          <a:off x="2657475" y="19855815"/>
          <a:ext cx="360046" cy="441960"/>
        </a:xfrm>
        <a:prstGeom prst="downArrow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left</a:t>
          </a:r>
          <a:endParaRPr lang="ko-KR" altLang="en-US" sz="1100"/>
        </a:p>
      </xdr:txBody>
    </xdr:sp>
    <xdr:clientData/>
  </xdr:twoCellAnchor>
  <xdr:twoCellAnchor>
    <xdr:from>
      <xdr:col>7</xdr:col>
      <xdr:colOff>19050</xdr:colOff>
      <xdr:row>88</xdr:row>
      <xdr:rowOff>76200</xdr:rowOff>
    </xdr:from>
    <xdr:to>
      <xdr:col>7</xdr:col>
      <xdr:colOff>485776</xdr:colOff>
      <xdr:row>90</xdr:row>
      <xdr:rowOff>76200</xdr:rowOff>
    </xdr:to>
    <xdr:sp macro="" textlink="">
      <xdr:nvSpPr>
        <xdr:cNvPr id="22" name="아래쪽 화살표 설명선 21">
          <a:extLst>
            <a:ext uri="{FF2B5EF4-FFF2-40B4-BE49-F238E27FC236}">
              <a16:creationId xmlns:a16="http://schemas.microsoft.com/office/drawing/2014/main" id="{6D389320-7756-4602-B1EA-4A7F0A859BDA}"/>
            </a:ext>
          </a:extLst>
        </xdr:cNvPr>
        <xdr:cNvSpPr/>
      </xdr:nvSpPr>
      <xdr:spPr>
        <a:xfrm>
          <a:off x="2678430" y="19530060"/>
          <a:ext cx="337186" cy="441960"/>
        </a:xfrm>
        <a:prstGeom prst="downArrow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right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49530</xdr:colOff>
      <xdr:row>1</xdr:row>
      <xdr:rowOff>26670</xdr:rowOff>
    </xdr:from>
    <xdr:to>
      <xdr:col>20</xdr:col>
      <xdr:colOff>95250</xdr:colOff>
      <xdr:row>26</xdr:row>
      <xdr:rowOff>174865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0FB1B95-5F85-4E4B-A561-8C470FED164C}"/>
            </a:ext>
          </a:extLst>
        </xdr:cNvPr>
        <xdr:cNvSpPr txBox="1"/>
      </xdr:nvSpPr>
      <xdr:spPr>
        <a:xfrm>
          <a:off x="563880" y="255270"/>
          <a:ext cx="6560820" cy="56250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/>
            <a:t>[</a:t>
          </a:r>
          <a:r>
            <a:rPr lang="ko-KR" altLang="en-US" sz="1100" b="1"/>
            <a:t>문제</a:t>
          </a:r>
          <a:r>
            <a:rPr lang="ko-KR" altLang="en-US" sz="1100" b="1" baseline="0"/>
            <a:t> 개요</a:t>
          </a:r>
          <a:r>
            <a:rPr lang="en-US" altLang="ko-KR" sz="1100" b="1"/>
            <a:t>]</a:t>
          </a:r>
        </a:p>
        <a:p>
          <a:r>
            <a:rPr lang="ko-KR" altLang="en-US" sz="1100"/>
            <a:t>길이 </a:t>
          </a:r>
          <a:r>
            <a:rPr lang="en-US" altLang="ko-KR" sz="1100"/>
            <a:t>N( &lt;= 100,000)</a:t>
          </a:r>
          <a:r>
            <a:rPr lang="ko-KR" altLang="en-US" sz="1100"/>
            <a:t>에 양의 정수</a:t>
          </a:r>
          <a:r>
            <a:rPr lang="en-US" altLang="ko-KR" sz="1100"/>
            <a:t>( &lt;</a:t>
          </a:r>
          <a:r>
            <a:rPr lang="en-US" altLang="ko-KR" sz="1100" baseline="0"/>
            <a:t> 1</a:t>
          </a:r>
          <a:r>
            <a:rPr lang="ko-KR" altLang="en-US" sz="1100" baseline="0"/>
            <a:t>억</a:t>
          </a:r>
          <a:r>
            <a:rPr lang="en-US" altLang="ko-KR" sz="1100" baseline="0"/>
            <a:t>) </a:t>
          </a:r>
          <a:r>
            <a:rPr lang="ko-KR" altLang="en-US" sz="1100" baseline="0"/>
            <a:t>들이 주어진다</a:t>
          </a:r>
          <a:r>
            <a:rPr lang="en-US" altLang="ko-KR" sz="1100" baseline="0"/>
            <a:t>.</a:t>
          </a:r>
        </a:p>
        <a:p>
          <a:r>
            <a:rPr lang="ko-KR" altLang="en-US" sz="1100"/>
            <a:t>수열의 연속된 부분 수열중에 그 합이 </a:t>
          </a:r>
          <a:r>
            <a:rPr lang="en-US" altLang="ko-KR" sz="1100"/>
            <a:t>S</a:t>
          </a:r>
          <a:r>
            <a:rPr lang="ko-KR" altLang="en-US" sz="1100"/>
            <a:t>이상디 되는 최소 길이를 구라하</a:t>
          </a:r>
          <a:endParaRPr lang="en-US" altLang="ko-KR" sz="1100"/>
        </a:p>
        <a:p>
          <a:endParaRPr lang="en-US" altLang="ko-KR" sz="1100"/>
        </a:p>
        <a:p>
          <a:endParaRPr lang="en-US" altLang="ko-KR" sz="1100"/>
        </a:p>
        <a:p>
          <a:r>
            <a:rPr lang="en-US" altLang="ko-KR" sz="1100" b="1"/>
            <a:t>[</a:t>
          </a:r>
          <a:r>
            <a:rPr lang="ko-KR" altLang="en-US" sz="1100" b="1"/>
            <a:t>문제 분석</a:t>
          </a:r>
          <a:r>
            <a:rPr lang="en-US" altLang="ko-KR" sz="1100" b="1"/>
            <a:t>]</a:t>
          </a:r>
        </a:p>
        <a:p>
          <a:r>
            <a:rPr lang="ko-KR" altLang="en-US" sz="1100"/>
            <a:t>수의 합이 </a:t>
          </a:r>
          <a:r>
            <a:rPr lang="en-US" altLang="ko-KR" sz="1100"/>
            <a:t>int</a:t>
          </a:r>
          <a:r>
            <a:rPr lang="ko-KR" altLang="en-US" sz="1100"/>
            <a:t>범위를 넘을 수 있으므로 합을 저장할 변수는 </a:t>
          </a:r>
          <a:r>
            <a:rPr lang="en-US" altLang="ko-KR" sz="1100"/>
            <a:t>long long </a:t>
          </a:r>
          <a:r>
            <a:rPr lang="ko-KR" altLang="en-US" sz="1100"/>
            <a:t>을 사용해햐 한다</a:t>
          </a:r>
          <a:r>
            <a:rPr lang="en-US" altLang="ko-KR" sz="1100"/>
            <a:t>.</a:t>
          </a:r>
        </a:p>
        <a:p>
          <a:r>
            <a:rPr lang="ko-KR" altLang="en-US" sz="1100"/>
            <a:t>임의 의 두점을 선택하고 그합을 구하는 형식은 </a:t>
          </a:r>
          <a:r>
            <a:rPr lang="en-US" altLang="ko-KR" sz="1100"/>
            <a:t>O(N*N)</a:t>
          </a:r>
          <a:r>
            <a:rPr lang="ko-KR" altLang="en-US" sz="1100"/>
            <a:t>의 시간복잡도를 갖는다</a:t>
          </a:r>
          <a:r>
            <a:rPr lang="en-US" altLang="ko-KR" sz="1100"/>
            <a:t>.</a:t>
          </a:r>
        </a:p>
        <a:p>
          <a:r>
            <a:rPr lang="ko-KR" altLang="en-US" sz="1100"/>
            <a:t>탐색공간이 너무 크므로 줄여야 한다</a:t>
          </a:r>
          <a:r>
            <a:rPr lang="en-US" altLang="ko-KR" sz="1100"/>
            <a:t>.</a:t>
          </a:r>
        </a:p>
        <a:p>
          <a:r>
            <a:rPr lang="ko-KR" altLang="en-US" sz="1100"/>
            <a:t>어떻게 할 수 있을까</a:t>
          </a:r>
          <a:r>
            <a:rPr lang="en-US" altLang="ko-KR" sz="1100"/>
            <a:t>?</a:t>
          </a:r>
        </a:p>
        <a:p>
          <a:endParaRPr lang="en-US" altLang="ko-KR" sz="1100"/>
        </a:p>
        <a:p>
          <a:r>
            <a:rPr lang="en-US" altLang="ko-KR" sz="1100" b="1"/>
            <a:t>[</a:t>
          </a:r>
          <a:r>
            <a:rPr lang="ko-KR" altLang="en-US" sz="1100" b="1"/>
            <a:t>해법 연구</a:t>
          </a:r>
          <a:r>
            <a:rPr lang="en-US" altLang="ko-KR" sz="1100" b="1"/>
            <a:t>]</a:t>
          </a:r>
        </a:p>
        <a:p>
          <a:r>
            <a:rPr lang="en-US" altLang="ko-KR" sz="1100"/>
            <a:t>A[]</a:t>
          </a:r>
          <a:r>
            <a:rPr lang="ko-KR" altLang="en-US" sz="1100"/>
            <a:t>에 </a:t>
          </a:r>
          <a:r>
            <a:rPr lang="en-US" altLang="ko-KR" sz="1100"/>
            <a:t>N</a:t>
          </a:r>
          <a:r>
            <a:rPr lang="ko-KR" altLang="en-US" sz="1100"/>
            <a:t>개의 수들이 담겨있다</a:t>
          </a:r>
          <a:r>
            <a:rPr lang="en-US" altLang="ko-KR" sz="1100"/>
            <a:t>.</a:t>
          </a:r>
        </a:p>
        <a:p>
          <a:r>
            <a:rPr lang="en-US" altLang="ko-KR" sz="1100"/>
            <a:t>S : </a:t>
          </a:r>
          <a:r>
            <a:rPr lang="ko-KR" altLang="en-US" sz="1100"/>
            <a:t>합의 기준이 되는 수</a:t>
          </a:r>
          <a:endParaRPr lang="en-US" altLang="ko-KR" sz="1100"/>
        </a:p>
        <a:p>
          <a:r>
            <a:rPr lang="en-US" altLang="ko-KR" sz="1100"/>
            <a:t>L, R : </a:t>
          </a:r>
          <a:r>
            <a:rPr lang="ko-KR" altLang="en-US" sz="1100"/>
            <a:t>구간의</a:t>
          </a:r>
          <a:r>
            <a:rPr lang="ko-KR" altLang="en-US" sz="1100" baseline="0"/>
            <a:t> 왼쪽과 오른쪽 포인터</a:t>
          </a:r>
          <a:endParaRPr lang="en-US" altLang="ko-KR" sz="1100" baseline="0"/>
        </a:p>
        <a:p>
          <a:endParaRPr lang="en-US" altLang="ko-KR" sz="1100"/>
        </a:p>
        <a:p>
          <a:r>
            <a:rPr lang="en-US" altLang="ko-KR" sz="1100"/>
            <a:t>two</a:t>
          </a:r>
          <a:r>
            <a:rPr lang="en-US" altLang="ko-KR" sz="1100" baseline="0"/>
            <a:t> pointer</a:t>
          </a:r>
          <a:r>
            <a:rPr lang="ko-KR" altLang="en-US" sz="1100" baseline="0"/>
            <a:t>를 이용하여 문제를 해결 할 수 있다</a:t>
          </a:r>
          <a:r>
            <a:rPr lang="en-US" altLang="ko-KR" sz="1100" baseline="0"/>
            <a:t>.</a:t>
          </a:r>
        </a:p>
        <a:p>
          <a:r>
            <a:rPr lang="ko-KR" altLang="en-US" sz="1100" baseline="0"/>
            <a:t>어떤 구간 </a:t>
          </a:r>
          <a:r>
            <a:rPr lang="en-US" altLang="ko-KR" sz="1100" baseline="0"/>
            <a:t>sum(A[L] ~ A[R])</a:t>
          </a:r>
          <a:r>
            <a:rPr lang="ko-KR" altLang="en-US" sz="1100" baseline="0"/>
            <a:t>이 </a:t>
          </a:r>
          <a:r>
            <a:rPr lang="en-US" altLang="ko-KR" sz="1100" baseline="0"/>
            <a:t>S</a:t>
          </a:r>
          <a:r>
            <a:rPr lang="ko-KR" altLang="en-US" sz="1100" baseline="0"/>
            <a:t>이상이 되었다면</a:t>
          </a:r>
          <a:br>
            <a:rPr lang="en-US" altLang="ko-KR" sz="1100" baseline="0"/>
          </a:br>
          <a:r>
            <a:rPr lang="ko-KR" altLang="en-US" sz="1100" baseline="0"/>
            <a:t> </a:t>
          </a:r>
          <a:r>
            <a:rPr lang="en-US" altLang="ko-KR" sz="1100" baseline="0"/>
            <a:t>R</a:t>
          </a:r>
          <a:r>
            <a:rPr lang="ko-KR" altLang="en-US" sz="1100" baseline="0"/>
            <a:t>오른쪽 수들과 </a:t>
          </a:r>
          <a:r>
            <a:rPr lang="en-US" altLang="ko-KR" sz="1100" baseline="0"/>
            <a:t>A[L] </a:t>
          </a:r>
          <a:r>
            <a:rPr lang="ko-KR" altLang="en-US" sz="1100" baseline="0"/>
            <a:t>이 포함된 합을 구해볼 필요가 없다</a:t>
          </a:r>
          <a:r>
            <a:rPr lang="en-US" altLang="ko-KR" sz="1100" baseline="0"/>
            <a:t>.</a:t>
          </a:r>
        </a:p>
        <a:p>
          <a:r>
            <a:rPr lang="ko-KR" altLang="en-US" sz="1100"/>
            <a:t>이미 </a:t>
          </a:r>
          <a:r>
            <a:rPr lang="en-US" altLang="ko-KR" sz="1100"/>
            <a:t>S</a:t>
          </a:r>
          <a:r>
            <a:rPr lang="ko-KR" altLang="en-US" sz="1100"/>
            <a:t>를 넘었기 때문이다</a:t>
          </a:r>
          <a:r>
            <a:rPr lang="en-US" altLang="ko-KR" sz="1100"/>
            <a:t>.</a:t>
          </a:r>
        </a:p>
        <a:p>
          <a:r>
            <a:rPr lang="ko-KR" altLang="en-US" sz="1100"/>
            <a:t>구간합 </a:t>
          </a:r>
          <a:r>
            <a:rPr lang="en-US" altLang="ko-KR" sz="1100"/>
            <a:t>sum(A[L] ~</a:t>
          </a:r>
          <a:r>
            <a:rPr lang="en-US" altLang="ko-KR" sz="1100" baseline="0"/>
            <a:t> A[R]) &gt;= S </a:t>
          </a:r>
          <a:r>
            <a:rPr lang="ko-KR" altLang="en-US" sz="1100" baseline="0"/>
            <a:t>라면 구간의 크기를 구하여 답을 업데이트 하고 </a:t>
          </a:r>
          <a:r>
            <a:rPr lang="en-US" altLang="ko-KR" sz="1100" baseline="0"/>
            <a:t>L++;</a:t>
          </a:r>
        </a:p>
        <a:p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구간합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sum(A[L] ~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A[R]) &lt; S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라면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R++;</a:t>
          </a:r>
        </a:p>
        <a:p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하는 것으로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O(N)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에 답을 구할 수 있다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ko-KR" altLang="en-US" sz="1100"/>
        </a:p>
      </xdr:txBody>
    </xdr:sp>
    <xdr:clientData/>
  </xdr:twoCellAnchor>
  <xdr:twoCellAnchor>
    <xdr:from>
      <xdr:col>5</xdr:col>
      <xdr:colOff>178218</xdr:colOff>
      <xdr:row>51</xdr:row>
      <xdr:rowOff>144517</xdr:rowOff>
    </xdr:from>
    <xdr:to>
      <xdr:col>5</xdr:col>
      <xdr:colOff>339683</xdr:colOff>
      <xdr:row>53</xdr:row>
      <xdr:rowOff>73309</xdr:rowOff>
    </xdr:to>
    <xdr:sp macro="" textlink="">
      <xdr:nvSpPr>
        <xdr:cNvPr id="4" name="설명선: 아래쪽 화살표 3">
          <a:extLst>
            <a:ext uri="{FF2B5EF4-FFF2-40B4-BE49-F238E27FC236}">
              <a16:creationId xmlns:a16="http://schemas.microsoft.com/office/drawing/2014/main" id="{CA2760E2-86E2-57B1-333C-8348CF89C569}"/>
            </a:ext>
          </a:extLst>
        </xdr:cNvPr>
        <xdr:cNvSpPr/>
      </xdr:nvSpPr>
      <xdr:spPr>
        <a:xfrm>
          <a:off x="2056942" y="9479017"/>
          <a:ext cx="161465" cy="362344"/>
        </a:xfrm>
        <a:prstGeom prst="downArrowCallou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j</a:t>
          </a:r>
          <a:endParaRPr lang="ko-KR" altLang="en-US" sz="1100"/>
        </a:p>
      </xdr:txBody>
    </xdr:sp>
    <xdr:clientData/>
  </xdr:twoCellAnchor>
  <xdr:twoCellAnchor>
    <xdr:from>
      <xdr:col>6</xdr:col>
      <xdr:colOff>147278</xdr:colOff>
      <xdr:row>56</xdr:row>
      <xdr:rowOff>135189</xdr:rowOff>
    </xdr:from>
    <xdr:to>
      <xdr:col>6</xdr:col>
      <xdr:colOff>306838</xdr:colOff>
      <xdr:row>58</xdr:row>
      <xdr:rowOff>56361</xdr:rowOff>
    </xdr:to>
    <xdr:sp macro="" textlink="">
      <xdr:nvSpPr>
        <xdr:cNvPr id="6" name="설명선: 아래쪽 화살표 5">
          <a:extLst>
            <a:ext uri="{FF2B5EF4-FFF2-40B4-BE49-F238E27FC236}">
              <a16:creationId xmlns:a16="http://schemas.microsoft.com/office/drawing/2014/main" id="{A2980E8F-3C6F-48B8-BCC9-32E456DAFA83}"/>
            </a:ext>
          </a:extLst>
        </xdr:cNvPr>
        <xdr:cNvSpPr/>
      </xdr:nvSpPr>
      <xdr:spPr>
        <a:xfrm>
          <a:off x="2365683" y="6647793"/>
          <a:ext cx="161465" cy="362344"/>
        </a:xfrm>
        <a:prstGeom prst="downArrowCallou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j</a:t>
          </a:r>
          <a:endParaRPr lang="ko-KR" altLang="en-US" sz="1100"/>
        </a:p>
      </xdr:txBody>
    </xdr:sp>
    <xdr:clientData/>
  </xdr:twoCellAnchor>
  <xdr:twoCellAnchor>
    <xdr:from>
      <xdr:col>6</xdr:col>
      <xdr:colOff>147278</xdr:colOff>
      <xdr:row>61</xdr:row>
      <xdr:rowOff>135189</xdr:rowOff>
    </xdr:from>
    <xdr:to>
      <xdr:col>6</xdr:col>
      <xdr:colOff>306838</xdr:colOff>
      <xdr:row>63</xdr:row>
      <xdr:rowOff>56361</xdr:rowOff>
    </xdr:to>
    <xdr:sp macro="" textlink="">
      <xdr:nvSpPr>
        <xdr:cNvPr id="8" name="설명선: 아래쪽 화살표 7">
          <a:extLst>
            <a:ext uri="{FF2B5EF4-FFF2-40B4-BE49-F238E27FC236}">
              <a16:creationId xmlns:a16="http://schemas.microsoft.com/office/drawing/2014/main" id="{A1B5BC59-0DF3-4AA2-96E9-6395DB092615}"/>
            </a:ext>
          </a:extLst>
        </xdr:cNvPr>
        <xdr:cNvSpPr/>
      </xdr:nvSpPr>
      <xdr:spPr>
        <a:xfrm>
          <a:off x="2365683" y="7731672"/>
          <a:ext cx="161465" cy="362344"/>
        </a:xfrm>
        <a:prstGeom prst="downArrowCallou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j</a:t>
          </a:r>
          <a:endParaRPr lang="ko-KR" altLang="en-US" sz="1100"/>
        </a:p>
      </xdr:txBody>
    </xdr:sp>
    <xdr:clientData/>
  </xdr:twoCellAnchor>
  <xdr:twoCellAnchor>
    <xdr:from>
      <xdr:col>6</xdr:col>
      <xdr:colOff>147278</xdr:colOff>
      <xdr:row>66</xdr:row>
      <xdr:rowOff>135189</xdr:rowOff>
    </xdr:from>
    <xdr:to>
      <xdr:col>6</xdr:col>
      <xdr:colOff>306838</xdr:colOff>
      <xdr:row>68</xdr:row>
      <xdr:rowOff>56361</xdr:rowOff>
    </xdr:to>
    <xdr:sp macro="" textlink="">
      <xdr:nvSpPr>
        <xdr:cNvPr id="10" name="설명선: 아래쪽 화살표 9">
          <a:extLst>
            <a:ext uri="{FF2B5EF4-FFF2-40B4-BE49-F238E27FC236}">
              <a16:creationId xmlns:a16="http://schemas.microsoft.com/office/drawing/2014/main" id="{ED6810F8-DF77-4BF6-B075-91075DDE0D4D}"/>
            </a:ext>
          </a:extLst>
        </xdr:cNvPr>
        <xdr:cNvSpPr/>
      </xdr:nvSpPr>
      <xdr:spPr>
        <a:xfrm>
          <a:off x="2365683" y="8815551"/>
          <a:ext cx="161465" cy="362344"/>
        </a:xfrm>
        <a:prstGeom prst="downArrowCallou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j</a:t>
          </a:r>
          <a:endParaRPr lang="ko-KR" altLang="en-US" sz="1100"/>
        </a:p>
      </xdr:txBody>
    </xdr:sp>
    <xdr:clientData/>
  </xdr:twoCellAnchor>
  <xdr:twoCellAnchor>
    <xdr:from>
      <xdr:col>6</xdr:col>
      <xdr:colOff>147278</xdr:colOff>
      <xdr:row>71</xdr:row>
      <xdr:rowOff>135189</xdr:rowOff>
    </xdr:from>
    <xdr:to>
      <xdr:col>6</xdr:col>
      <xdr:colOff>306838</xdr:colOff>
      <xdr:row>73</xdr:row>
      <xdr:rowOff>56361</xdr:rowOff>
    </xdr:to>
    <xdr:sp macro="" textlink="">
      <xdr:nvSpPr>
        <xdr:cNvPr id="12" name="설명선: 아래쪽 화살표 11">
          <a:extLst>
            <a:ext uri="{FF2B5EF4-FFF2-40B4-BE49-F238E27FC236}">
              <a16:creationId xmlns:a16="http://schemas.microsoft.com/office/drawing/2014/main" id="{D1EB6C19-91E4-43BE-A4E1-B6BFB62937FF}"/>
            </a:ext>
          </a:extLst>
        </xdr:cNvPr>
        <xdr:cNvSpPr/>
      </xdr:nvSpPr>
      <xdr:spPr>
        <a:xfrm>
          <a:off x="2365683" y="9899431"/>
          <a:ext cx="161465" cy="362343"/>
        </a:xfrm>
        <a:prstGeom prst="downArrowCallou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j</a:t>
          </a:r>
          <a:endParaRPr lang="ko-KR" altLang="en-US" sz="1100"/>
        </a:p>
      </xdr:txBody>
    </xdr:sp>
    <xdr:clientData/>
  </xdr:twoCellAnchor>
  <xdr:twoCellAnchor>
    <xdr:from>
      <xdr:col>6</xdr:col>
      <xdr:colOff>171649</xdr:colOff>
      <xdr:row>76</xdr:row>
      <xdr:rowOff>183930</xdr:rowOff>
    </xdr:from>
    <xdr:to>
      <xdr:col>6</xdr:col>
      <xdr:colOff>333114</xdr:colOff>
      <xdr:row>78</xdr:row>
      <xdr:rowOff>112722</xdr:rowOff>
    </xdr:to>
    <xdr:sp macro="" textlink="">
      <xdr:nvSpPr>
        <xdr:cNvPr id="14" name="설명선: 아래쪽 화살표 13">
          <a:extLst>
            <a:ext uri="{FF2B5EF4-FFF2-40B4-BE49-F238E27FC236}">
              <a16:creationId xmlns:a16="http://schemas.microsoft.com/office/drawing/2014/main" id="{0E711744-01E4-4C9A-93C4-912938147841}"/>
            </a:ext>
          </a:extLst>
        </xdr:cNvPr>
        <xdr:cNvSpPr/>
      </xdr:nvSpPr>
      <xdr:spPr>
        <a:xfrm>
          <a:off x="2391959" y="12119740"/>
          <a:ext cx="161465" cy="362344"/>
        </a:xfrm>
        <a:prstGeom prst="downArrowCallou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j</a:t>
          </a:r>
          <a:endParaRPr lang="ko-KR" altLang="en-US" sz="1100"/>
        </a:p>
      </xdr:txBody>
    </xdr:sp>
    <xdr:clientData/>
  </xdr:twoCellAnchor>
  <xdr:twoCellAnchor>
    <xdr:from>
      <xdr:col>7</xdr:col>
      <xdr:colOff>180976</xdr:colOff>
      <xdr:row>81</xdr:row>
      <xdr:rowOff>182025</xdr:rowOff>
    </xdr:from>
    <xdr:to>
      <xdr:col>8</xdr:col>
      <xdr:colOff>2760</xdr:colOff>
      <xdr:row>83</xdr:row>
      <xdr:rowOff>112722</xdr:rowOff>
    </xdr:to>
    <xdr:sp macro="" textlink="">
      <xdr:nvSpPr>
        <xdr:cNvPr id="16" name="설명선: 아래쪽 화살표 15">
          <a:extLst>
            <a:ext uri="{FF2B5EF4-FFF2-40B4-BE49-F238E27FC236}">
              <a16:creationId xmlns:a16="http://schemas.microsoft.com/office/drawing/2014/main" id="{D460FFB2-C250-43E8-AD32-E57846EE5F60}"/>
            </a:ext>
          </a:extLst>
        </xdr:cNvPr>
        <xdr:cNvSpPr/>
      </xdr:nvSpPr>
      <xdr:spPr>
        <a:xfrm>
          <a:off x="2742873" y="13201715"/>
          <a:ext cx="163370" cy="364248"/>
        </a:xfrm>
        <a:prstGeom prst="downArrowCallou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j</a:t>
          </a:r>
          <a:endParaRPr lang="ko-KR" altLang="en-US" sz="1100"/>
        </a:p>
      </xdr:txBody>
    </xdr:sp>
    <xdr:clientData/>
  </xdr:twoCellAnchor>
  <xdr:twoCellAnchor>
    <xdr:from>
      <xdr:col>7</xdr:col>
      <xdr:colOff>180976</xdr:colOff>
      <xdr:row>86</xdr:row>
      <xdr:rowOff>182025</xdr:rowOff>
    </xdr:from>
    <xdr:to>
      <xdr:col>8</xdr:col>
      <xdr:colOff>2760</xdr:colOff>
      <xdr:row>88</xdr:row>
      <xdr:rowOff>112722</xdr:rowOff>
    </xdr:to>
    <xdr:sp macro="" textlink="">
      <xdr:nvSpPr>
        <xdr:cNvPr id="18" name="설명선: 아래쪽 화살표 17">
          <a:extLst>
            <a:ext uri="{FF2B5EF4-FFF2-40B4-BE49-F238E27FC236}">
              <a16:creationId xmlns:a16="http://schemas.microsoft.com/office/drawing/2014/main" id="{56154C1A-0622-4BF5-A84B-D53C1EAF562B}"/>
            </a:ext>
          </a:extLst>
        </xdr:cNvPr>
        <xdr:cNvSpPr/>
      </xdr:nvSpPr>
      <xdr:spPr>
        <a:xfrm>
          <a:off x="2740968" y="13199810"/>
          <a:ext cx="165275" cy="366153"/>
        </a:xfrm>
        <a:prstGeom prst="downArrowCallou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j</a:t>
          </a:r>
          <a:endParaRPr lang="ko-KR" altLang="en-US" sz="1100"/>
        </a:p>
      </xdr:txBody>
    </xdr:sp>
    <xdr:clientData/>
  </xdr:twoCellAnchor>
  <xdr:twoCellAnchor>
    <xdr:from>
      <xdr:col>9</xdr:col>
      <xdr:colOff>168101</xdr:colOff>
      <xdr:row>96</xdr:row>
      <xdr:rowOff>180232</xdr:rowOff>
    </xdr:from>
    <xdr:to>
      <xdr:col>9</xdr:col>
      <xdr:colOff>340405</xdr:colOff>
      <xdr:row>98</xdr:row>
      <xdr:rowOff>105214</xdr:rowOff>
    </xdr:to>
    <xdr:sp macro="" textlink="">
      <xdr:nvSpPr>
        <xdr:cNvPr id="20" name="설명선: 아래쪽 화살표 19">
          <a:extLst>
            <a:ext uri="{FF2B5EF4-FFF2-40B4-BE49-F238E27FC236}">
              <a16:creationId xmlns:a16="http://schemas.microsoft.com/office/drawing/2014/main" id="{45EE012C-72FC-4A96-A4F2-B37D9A849797}"/>
            </a:ext>
          </a:extLst>
        </xdr:cNvPr>
        <xdr:cNvSpPr/>
      </xdr:nvSpPr>
      <xdr:spPr>
        <a:xfrm>
          <a:off x="3428372" y="21091689"/>
          <a:ext cx="172304" cy="360411"/>
        </a:xfrm>
        <a:prstGeom prst="downArrowCallou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j</a:t>
          </a:r>
          <a:endParaRPr lang="ko-KR" altLang="en-US" sz="1100"/>
        </a:p>
      </xdr:txBody>
    </xdr:sp>
    <xdr:clientData/>
  </xdr:twoCellAnchor>
  <xdr:twoCellAnchor>
    <xdr:from>
      <xdr:col>16</xdr:col>
      <xdr:colOff>250672</xdr:colOff>
      <xdr:row>55</xdr:row>
      <xdr:rowOff>113578</xdr:rowOff>
    </xdr:from>
    <xdr:to>
      <xdr:col>21</xdr:col>
      <xdr:colOff>269328</xdr:colOff>
      <xdr:row>57</xdr:row>
      <xdr:rowOff>79880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D25DC19-F84E-B9DB-2EBE-0595A940A1B8}"/>
            </a:ext>
          </a:extLst>
        </xdr:cNvPr>
        <xdr:cNvSpPr txBox="1"/>
      </xdr:nvSpPr>
      <xdr:spPr>
        <a:xfrm>
          <a:off x="5886844" y="10315181"/>
          <a:ext cx="1726587" cy="399854"/>
        </a:xfrm>
        <a:prstGeom prst="rect">
          <a:avLst/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sum &lt; S </a:t>
          </a:r>
          <a:r>
            <a:rPr lang="ko-KR" altLang="en-US" sz="1100"/>
            <a:t>인 동안 </a:t>
          </a:r>
          <a:r>
            <a:rPr lang="en-US" altLang="ko-KR" sz="1100"/>
            <a:t>j </a:t>
          </a:r>
          <a:r>
            <a:rPr lang="ko-KR" altLang="en-US" sz="1100"/>
            <a:t>진행</a:t>
          </a:r>
        </a:p>
      </xdr:txBody>
    </xdr:sp>
    <xdr:clientData/>
  </xdr:twoCellAnchor>
  <xdr:twoCellAnchor>
    <xdr:from>
      <xdr:col>16</xdr:col>
      <xdr:colOff>240294</xdr:colOff>
      <xdr:row>60</xdr:row>
      <xdr:rowOff>139853</xdr:rowOff>
    </xdr:from>
    <xdr:to>
      <xdr:col>21</xdr:col>
      <xdr:colOff>266570</xdr:colOff>
      <xdr:row>62</xdr:row>
      <xdr:rowOff>100440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9B289206-1E19-787F-3185-A2DFBB5E1BC2}"/>
            </a:ext>
          </a:extLst>
        </xdr:cNvPr>
        <xdr:cNvSpPr txBox="1"/>
      </xdr:nvSpPr>
      <xdr:spPr>
        <a:xfrm>
          <a:off x="5876466" y="8607250"/>
          <a:ext cx="1734207" cy="394138"/>
        </a:xfrm>
        <a:prstGeom prst="rect">
          <a:avLst/>
        </a:prstGeom>
        <a:ln/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sum &gt;= S </a:t>
          </a:r>
          <a:r>
            <a:rPr lang="ko-KR" altLang="en-US" sz="1100"/>
            <a:t>인 동안 </a:t>
          </a:r>
          <a:r>
            <a:rPr lang="en-US" altLang="ko-KR" sz="1100"/>
            <a:t>i </a:t>
          </a:r>
          <a:r>
            <a:rPr lang="ko-KR" altLang="en-US" sz="1100"/>
            <a:t>진행</a:t>
          </a:r>
        </a:p>
      </xdr:txBody>
    </xdr:sp>
    <xdr:clientData/>
  </xdr:twoCellAnchor>
  <xdr:twoCellAnchor>
    <xdr:from>
      <xdr:col>16</xdr:col>
      <xdr:colOff>236483</xdr:colOff>
      <xdr:row>65</xdr:row>
      <xdr:rowOff>117388</xdr:rowOff>
    </xdr:from>
    <xdr:to>
      <xdr:col>21</xdr:col>
      <xdr:colOff>268474</xdr:colOff>
      <xdr:row>67</xdr:row>
      <xdr:rowOff>77974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7E823C7-568E-6263-628B-05160AF0C06B}"/>
            </a:ext>
          </a:extLst>
        </xdr:cNvPr>
        <xdr:cNvSpPr txBox="1"/>
      </xdr:nvSpPr>
      <xdr:spPr>
        <a:xfrm>
          <a:off x="5872655" y="9668664"/>
          <a:ext cx="1739922" cy="394138"/>
        </a:xfrm>
        <a:prstGeom prst="rect">
          <a:avLst/>
        </a:prstGeom>
        <a:ln/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sum &gt;= S </a:t>
          </a:r>
          <a:r>
            <a:rPr lang="ko-KR" altLang="en-US" sz="1100"/>
            <a:t>인 동안 </a:t>
          </a:r>
          <a:r>
            <a:rPr lang="en-US" altLang="ko-KR" sz="1100"/>
            <a:t>i </a:t>
          </a:r>
          <a:r>
            <a:rPr lang="ko-KR" altLang="en-US" sz="1100"/>
            <a:t>진행</a:t>
          </a:r>
        </a:p>
      </xdr:txBody>
    </xdr:sp>
    <xdr:clientData/>
  </xdr:twoCellAnchor>
  <xdr:twoCellAnchor>
    <xdr:from>
      <xdr:col>16</xdr:col>
      <xdr:colOff>246862</xdr:colOff>
      <xdr:row>70</xdr:row>
      <xdr:rowOff>101493</xdr:rowOff>
    </xdr:from>
    <xdr:to>
      <xdr:col>21</xdr:col>
      <xdr:colOff>276948</xdr:colOff>
      <xdr:row>72</xdr:row>
      <xdr:rowOff>62079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47E2451C-8F36-889C-DFD4-8D0CC6D8705B}"/>
            </a:ext>
          </a:extLst>
        </xdr:cNvPr>
        <xdr:cNvSpPr txBox="1"/>
      </xdr:nvSpPr>
      <xdr:spPr>
        <a:xfrm>
          <a:off x="5883034" y="10736648"/>
          <a:ext cx="1738017" cy="394138"/>
        </a:xfrm>
        <a:prstGeom prst="rect">
          <a:avLst/>
        </a:prstGeom>
        <a:ln/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sum &gt;= S </a:t>
          </a:r>
          <a:r>
            <a:rPr lang="ko-KR" altLang="en-US" sz="1100"/>
            <a:t>인 동안 </a:t>
          </a:r>
          <a:r>
            <a:rPr lang="en-US" altLang="ko-KR" sz="1100"/>
            <a:t>i </a:t>
          </a:r>
          <a:r>
            <a:rPr lang="ko-KR" altLang="en-US" sz="1100"/>
            <a:t>진행</a:t>
          </a:r>
        </a:p>
      </xdr:txBody>
    </xdr:sp>
    <xdr:clientData/>
  </xdr:twoCellAnchor>
  <xdr:twoCellAnchor>
    <xdr:from>
      <xdr:col>16</xdr:col>
      <xdr:colOff>256190</xdr:colOff>
      <xdr:row>75</xdr:row>
      <xdr:rowOff>51700</xdr:rowOff>
    </xdr:from>
    <xdr:to>
      <xdr:col>21</xdr:col>
      <xdr:colOff>293896</xdr:colOff>
      <xdr:row>77</xdr:row>
      <xdr:rowOff>12286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1E06AAD3-CF2E-551A-2FF8-A435C485C3EF}"/>
            </a:ext>
          </a:extLst>
        </xdr:cNvPr>
        <xdr:cNvSpPr txBox="1"/>
      </xdr:nvSpPr>
      <xdr:spPr>
        <a:xfrm>
          <a:off x="5892362" y="11770734"/>
          <a:ext cx="1745637" cy="394138"/>
        </a:xfrm>
        <a:prstGeom prst="rect">
          <a:avLst/>
        </a:prstGeom>
        <a:ln/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sum &gt;= S </a:t>
          </a:r>
          <a:r>
            <a:rPr lang="ko-KR" altLang="en-US" sz="1100"/>
            <a:t>인 동안 </a:t>
          </a:r>
          <a:r>
            <a:rPr lang="en-US" altLang="ko-KR" sz="1100"/>
            <a:t>i </a:t>
          </a:r>
          <a:r>
            <a:rPr lang="ko-KR" altLang="en-US" sz="1100"/>
            <a:t>진행</a:t>
          </a:r>
        </a:p>
      </xdr:txBody>
    </xdr:sp>
    <xdr:clientData/>
  </xdr:twoCellAnchor>
  <xdr:twoCellAnchor>
    <xdr:from>
      <xdr:col>16</xdr:col>
      <xdr:colOff>275897</xdr:colOff>
      <xdr:row>80</xdr:row>
      <xdr:rowOff>45129</xdr:rowOff>
    </xdr:from>
    <xdr:to>
      <xdr:col>21</xdr:col>
      <xdr:colOff>307888</xdr:colOff>
      <xdr:row>82</xdr:row>
      <xdr:rowOff>1905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729AE83D-9077-1B37-53E2-16FEFBA1C070}"/>
            </a:ext>
          </a:extLst>
        </xdr:cNvPr>
        <xdr:cNvSpPr txBox="1"/>
      </xdr:nvSpPr>
      <xdr:spPr>
        <a:xfrm>
          <a:off x="5912069" y="12848043"/>
          <a:ext cx="1739922" cy="390328"/>
        </a:xfrm>
        <a:prstGeom prst="rect">
          <a:avLst/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sum &lt; S </a:t>
          </a:r>
          <a:r>
            <a:rPr lang="ko-KR" altLang="en-US" sz="1100"/>
            <a:t>인 동안 </a:t>
          </a:r>
          <a:r>
            <a:rPr lang="en-US" altLang="ko-KR" sz="1100"/>
            <a:t>j </a:t>
          </a:r>
          <a:r>
            <a:rPr lang="ko-KR" altLang="en-US" sz="1100"/>
            <a:t>진행</a:t>
          </a:r>
        </a:p>
      </xdr:txBody>
    </xdr:sp>
    <xdr:clientData/>
  </xdr:twoCellAnchor>
  <xdr:twoCellAnchor>
    <xdr:from>
      <xdr:col>16</xdr:col>
      <xdr:colOff>233724</xdr:colOff>
      <xdr:row>85</xdr:row>
      <xdr:rowOff>58269</xdr:rowOff>
    </xdr:from>
    <xdr:to>
      <xdr:col>21</xdr:col>
      <xdr:colOff>271430</xdr:colOff>
      <xdr:row>87</xdr:row>
      <xdr:rowOff>18855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778B73BA-79B2-A01B-2CD5-24B654F7919A}"/>
            </a:ext>
          </a:extLst>
        </xdr:cNvPr>
        <xdr:cNvSpPr txBox="1"/>
      </xdr:nvSpPr>
      <xdr:spPr>
        <a:xfrm>
          <a:off x="5869896" y="13945062"/>
          <a:ext cx="1745637" cy="394138"/>
        </a:xfrm>
        <a:prstGeom prst="rect">
          <a:avLst/>
        </a:prstGeom>
        <a:ln/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sum &gt;= S </a:t>
          </a:r>
          <a:r>
            <a:rPr lang="ko-KR" altLang="en-US" sz="1100"/>
            <a:t>인 동안 </a:t>
          </a:r>
          <a:r>
            <a:rPr lang="en-US" altLang="ko-KR" sz="1100"/>
            <a:t>i </a:t>
          </a:r>
          <a:r>
            <a:rPr lang="ko-KR" altLang="en-US" sz="1100"/>
            <a:t>진행</a:t>
          </a:r>
        </a:p>
      </xdr:txBody>
    </xdr:sp>
    <xdr:clientData/>
  </xdr:twoCellAnchor>
  <xdr:twoCellAnchor>
    <xdr:from>
      <xdr:col>16</xdr:col>
      <xdr:colOff>260854</xdr:colOff>
      <xdr:row>95</xdr:row>
      <xdr:rowOff>131380</xdr:rowOff>
    </xdr:from>
    <xdr:to>
      <xdr:col>21</xdr:col>
      <xdr:colOff>298560</xdr:colOff>
      <xdr:row>97</xdr:row>
      <xdr:rowOff>101491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BC87E85F-DDF0-CE7F-2DAC-6AC565C39054}"/>
            </a:ext>
          </a:extLst>
        </xdr:cNvPr>
        <xdr:cNvSpPr txBox="1"/>
      </xdr:nvSpPr>
      <xdr:spPr>
        <a:xfrm>
          <a:off x="5897026" y="15102052"/>
          <a:ext cx="1745637" cy="403663"/>
        </a:xfrm>
        <a:prstGeom prst="rect">
          <a:avLst/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sum &lt; S </a:t>
          </a:r>
          <a:r>
            <a:rPr lang="ko-KR" altLang="en-US" sz="1100"/>
            <a:t>인 동안 </a:t>
          </a:r>
          <a:r>
            <a:rPr lang="en-US" altLang="ko-KR" sz="1100"/>
            <a:t>j </a:t>
          </a:r>
          <a:r>
            <a:rPr lang="ko-KR" altLang="en-US" sz="1100"/>
            <a:t>진행</a:t>
          </a:r>
        </a:p>
      </xdr:txBody>
    </xdr:sp>
    <xdr:clientData/>
  </xdr:twoCellAnchor>
  <xdr:twoCellAnchor>
    <xdr:from>
      <xdr:col>16</xdr:col>
      <xdr:colOff>260855</xdr:colOff>
      <xdr:row>100</xdr:row>
      <xdr:rowOff>196219</xdr:rowOff>
    </xdr:from>
    <xdr:to>
      <xdr:col>21</xdr:col>
      <xdr:colOff>298561</xdr:colOff>
      <xdr:row>102</xdr:row>
      <xdr:rowOff>156805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3D545815-8768-83A0-5A1C-8BB476F4C442}"/>
            </a:ext>
          </a:extLst>
        </xdr:cNvPr>
        <xdr:cNvSpPr txBox="1"/>
      </xdr:nvSpPr>
      <xdr:spPr>
        <a:xfrm>
          <a:off x="5897027" y="16250771"/>
          <a:ext cx="1745637" cy="394137"/>
        </a:xfrm>
        <a:prstGeom prst="rect">
          <a:avLst/>
        </a:prstGeom>
        <a:ln/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sum &gt;= S </a:t>
          </a:r>
          <a:r>
            <a:rPr lang="ko-KR" altLang="en-US" sz="1100"/>
            <a:t>인 동안 </a:t>
          </a:r>
          <a:r>
            <a:rPr lang="en-US" altLang="ko-KR" sz="1100"/>
            <a:t>i </a:t>
          </a:r>
          <a:r>
            <a:rPr lang="ko-KR" altLang="en-US" sz="1100"/>
            <a:t>진행</a:t>
          </a:r>
        </a:p>
      </xdr:txBody>
    </xdr:sp>
    <xdr:clientData/>
  </xdr:twoCellAnchor>
  <xdr:twoCellAnchor>
    <xdr:from>
      <xdr:col>9</xdr:col>
      <xdr:colOff>210011</xdr:colOff>
      <xdr:row>101</xdr:row>
      <xdr:rowOff>203637</xdr:rowOff>
    </xdr:from>
    <xdr:to>
      <xdr:col>10</xdr:col>
      <xdr:colOff>35605</xdr:colOff>
      <xdr:row>103</xdr:row>
      <xdr:rowOff>128619</xdr:rowOff>
    </xdr:to>
    <xdr:sp macro="" textlink="">
      <xdr:nvSpPr>
        <xdr:cNvPr id="34" name="설명선: 아래쪽 화살표 33">
          <a:extLst>
            <a:ext uri="{FF2B5EF4-FFF2-40B4-BE49-F238E27FC236}">
              <a16:creationId xmlns:a16="http://schemas.microsoft.com/office/drawing/2014/main" id="{C2A32319-1B65-48FB-82C5-679F22BBD448}"/>
            </a:ext>
          </a:extLst>
        </xdr:cNvPr>
        <xdr:cNvSpPr/>
      </xdr:nvSpPr>
      <xdr:spPr>
        <a:xfrm>
          <a:off x="3451270" y="16478775"/>
          <a:ext cx="170990" cy="358533"/>
        </a:xfrm>
        <a:prstGeom prst="downArrowCallou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j</a:t>
          </a:r>
          <a:endParaRPr lang="ko-KR" altLang="en-US" sz="1100"/>
        </a:p>
      </xdr:txBody>
    </xdr:sp>
    <xdr:clientData/>
  </xdr:twoCellAnchor>
  <xdr:twoCellAnchor>
    <xdr:from>
      <xdr:col>10</xdr:col>
      <xdr:colOff>173356</xdr:colOff>
      <xdr:row>106</xdr:row>
      <xdr:rowOff>207447</xdr:rowOff>
    </xdr:from>
    <xdr:to>
      <xdr:col>11</xdr:col>
      <xdr:colOff>2760</xdr:colOff>
      <xdr:row>108</xdr:row>
      <xdr:rowOff>132429</xdr:rowOff>
    </xdr:to>
    <xdr:sp macro="" textlink="">
      <xdr:nvSpPr>
        <xdr:cNvPr id="37" name="설명선: 아래쪽 화살표 36">
          <a:extLst>
            <a:ext uri="{FF2B5EF4-FFF2-40B4-BE49-F238E27FC236}">
              <a16:creationId xmlns:a16="http://schemas.microsoft.com/office/drawing/2014/main" id="{E0B4EBE3-EB3B-4D11-92C8-6E0C9315F978}"/>
            </a:ext>
          </a:extLst>
        </xdr:cNvPr>
        <xdr:cNvSpPr/>
      </xdr:nvSpPr>
      <xdr:spPr>
        <a:xfrm>
          <a:off x="3760011" y="18646533"/>
          <a:ext cx="170990" cy="358534"/>
        </a:xfrm>
        <a:prstGeom prst="downArrowCallou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j</a:t>
          </a:r>
          <a:endParaRPr lang="ko-KR" altLang="en-US" sz="1100"/>
        </a:p>
      </xdr:txBody>
    </xdr:sp>
    <xdr:clientData/>
  </xdr:twoCellAnchor>
  <xdr:twoCellAnchor>
    <xdr:from>
      <xdr:col>16</xdr:col>
      <xdr:colOff>253431</xdr:colOff>
      <xdr:row>105</xdr:row>
      <xdr:rowOff>59122</xdr:rowOff>
    </xdr:from>
    <xdr:to>
      <xdr:col>21</xdr:col>
      <xdr:colOff>291137</xdr:colOff>
      <xdr:row>107</xdr:row>
      <xdr:rowOff>29233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3654DD23-07FC-BD8A-7FCC-D5EBE9D2C2AA}"/>
            </a:ext>
          </a:extLst>
        </xdr:cNvPr>
        <xdr:cNvSpPr txBox="1"/>
      </xdr:nvSpPr>
      <xdr:spPr>
        <a:xfrm>
          <a:off x="5889603" y="18281432"/>
          <a:ext cx="1745637" cy="403663"/>
        </a:xfrm>
        <a:prstGeom prst="rect">
          <a:avLst/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sum &lt; S </a:t>
          </a:r>
          <a:r>
            <a:rPr lang="ko-KR" altLang="en-US" sz="1100"/>
            <a:t>인 동안 </a:t>
          </a:r>
          <a:r>
            <a:rPr lang="en-US" altLang="ko-KR" sz="1100"/>
            <a:t>j </a:t>
          </a:r>
          <a:r>
            <a:rPr lang="ko-KR" altLang="en-US" sz="1100"/>
            <a:t>진행</a:t>
          </a:r>
        </a:p>
      </xdr:txBody>
    </xdr:sp>
    <xdr:clientData/>
  </xdr:twoCellAnchor>
  <xdr:twoCellAnchor>
    <xdr:from>
      <xdr:col>10</xdr:col>
      <xdr:colOff>173356</xdr:colOff>
      <xdr:row>111</xdr:row>
      <xdr:rowOff>207447</xdr:rowOff>
    </xdr:from>
    <xdr:to>
      <xdr:col>11</xdr:col>
      <xdr:colOff>2760</xdr:colOff>
      <xdr:row>113</xdr:row>
      <xdr:rowOff>132429</xdr:rowOff>
    </xdr:to>
    <xdr:sp macro="" textlink="">
      <xdr:nvSpPr>
        <xdr:cNvPr id="41" name="설명선: 아래쪽 화살표 40">
          <a:extLst>
            <a:ext uri="{FF2B5EF4-FFF2-40B4-BE49-F238E27FC236}">
              <a16:creationId xmlns:a16="http://schemas.microsoft.com/office/drawing/2014/main" id="{F1F577B9-04FB-46D1-8DE9-1569EA1A6FE9}"/>
            </a:ext>
          </a:extLst>
        </xdr:cNvPr>
        <xdr:cNvSpPr/>
      </xdr:nvSpPr>
      <xdr:spPr>
        <a:xfrm>
          <a:off x="3756201" y="18650343"/>
          <a:ext cx="174800" cy="358534"/>
        </a:xfrm>
        <a:prstGeom prst="downArrowCallou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j</a:t>
          </a:r>
          <a:endParaRPr lang="ko-KR" altLang="en-US" sz="1100"/>
        </a:p>
      </xdr:txBody>
    </xdr:sp>
    <xdr:clientData/>
  </xdr:twoCellAnchor>
  <xdr:twoCellAnchor>
    <xdr:from>
      <xdr:col>16</xdr:col>
      <xdr:colOff>220587</xdr:colOff>
      <xdr:row>110</xdr:row>
      <xdr:rowOff>193459</xdr:rowOff>
    </xdr:from>
    <xdr:to>
      <xdr:col>21</xdr:col>
      <xdr:colOff>258293</xdr:colOff>
      <xdr:row>112</xdr:row>
      <xdr:rowOff>150236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CABEBD95-34D3-4D36-A0D3-5F5855AB0664}"/>
            </a:ext>
          </a:extLst>
        </xdr:cNvPr>
        <xdr:cNvSpPr txBox="1"/>
      </xdr:nvSpPr>
      <xdr:spPr>
        <a:xfrm>
          <a:off x="5856759" y="19499649"/>
          <a:ext cx="1745637" cy="390328"/>
        </a:xfrm>
        <a:prstGeom prst="rect">
          <a:avLst/>
        </a:prstGeom>
        <a:ln/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sum &gt;= S </a:t>
          </a:r>
          <a:r>
            <a:rPr lang="ko-KR" altLang="en-US" sz="1100"/>
            <a:t>인 동안 </a:t>
          </a:r>
          <a:r>
            <a:rPr lang="en-US" altLang="ko-KR" sz="1100"/>
            <a:t>i </a:t>
          </a:r>
          <a:r>
            <a:rPr lang="ko-KR" altLang="en-US" sz="1100"/>
            <a:t>진행</a:t>
          </a:r>
        </a:p>
      </xdr:txBody>
    </xdr:sp>
    <xdr:clientData/>
  </xdr:twoCellAnchor>
  <xdr:twoCellAnchor>
    <xdr:from>
      <xdr:col>4</xdr:col>
      <xdr:colOff>167838</xdr:colOff>
      <xdr:row>46</xdr:row>
      <xdr:rowOff>168888</xdr:rowOff>
    </xdr:from>
    <xdr:to>
      <xdr:col>4</xdr:col>
      <xdr:colOff>333113</xdr:colOff>
      <xdr:row>48</xdr:row>
      <xdr:rowOff>99585</xdr:rowOff>
    </xdr:to>
    <xdr:sp macro="" textlink="">
      <xdr:nvSpPr>
        <xdr:cNvPr id="44" name="설명선: 아래쪽 화살표 43">
          <a:extLst>
            <a:ext uri="{FF2B5EF4-FFF2-40B4-BE49-F238E27FC236}">
              <a16:creationId xmlns:a16="http://schemas.microsoft.com/office/drawing/2014/main" id="{747A7A89-B9E6-47C2-9DBF-38CF657490DD}"/>
            </a:ext>
          </a:extLst>
        </xdr:cNvPr>
        <xdr:cNvSpPr/>
      </xdr:nvSpPr>
      <xdr:spPr>
        <a:xfrm>
          <a:off x="1704976" y="8419509"/>
          <a:ext cx="165275" cy="364248"/>
        </a:xfrm>
        <a:prstGeom prst="downArrowCallou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j</a:t>
          </a:r>
          <a:endParaRPr lang="ko-KR" altLang="en-US" sz="1100"/>
        </a:p>
      </xdr:txBody>
    </xdr:sp>
    <xdr:clientData/>
  </xdr:twoCellAnchor>
  <xdr:twoCellAnchor>
    <xdr:from>
      <xdr:col>16</xdr:col>
      <xdr:colOff>246862</xdr:colOff>
      <xdr:row>50</xdr:row>
      <xdr:rowOff>107009</xdr:rowOff>
    </xdr:from>
    <xdr:to>
      <xdr:col>21</xdr:col>
      <xdr:colOff>269328</xdr:colOff>
      <xdr:row>52</xdr:row>
      <xdr:rowOff>73311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7DE471B7-6270-969D-1CE9-82A111DDC2EC}"/>
            </a:ext>
          </a:extLst>
        </xdr:cNvPr>
        <xdr:cNvSpPr txBox="1"/>
      </xdr:nvSpPr>
      <xdr:spPr>
        <a:xfrm>
          <a:off x="5883034" y="9224733"/>
          <a:ext cx="1730397" cy="399854"/>
        </a:xfrm>
        <a:prstGeom prst="rect">
          <a:avLst/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sum &lt; S </a:t>
          </a:r>
          <a:r>
            <a:rPr lang="ko-KR" altLang="en-US" sz="1100"/>
            <a:t>인 동안 </a:t>
          </a:r>
          <a:r>
            <a:rPr lang="en-US" altLang="ko-KR" sz="1100"/>
            <a:t>j </a:t>
          </a:r>
          <a:r>
            <a:rPr lang="ko-KR" altLang="en-US" sz="1100"/>
            <a:t>진행</a:t>
          </a:r>
        </a:p>
      </xdr:txBody>
    </xdr:sp>
    <xdr:clientData/>
  </xdr:twoCellAnchor>
  <xdr:twoCellAnchor>
    <xdr:from>
      <xdr:col>3</xdr:col>
      <xdr:colOff>158510</xdr:colOff>
      <xdr:row>41</xdr:row>
      <xdr:rowOff>172698</xdr:rowOff>
    </xdr:from>
    <xdr:to>
      <xdr:col>3</xdr:col>
      <xdr:colOff>318070</xdr:colOff>
      <xdr:row>43</xdr:row>
      <xdr:rowOff>95775</xdr:rowOff>
    </xdr:to>
    <xdr:sp macro="" textlink="">
      <xdr:nvSpPr>
        <xdr:cNvPr id="47" name="설명선: 아래쪽 화살표 46">
          <a:extLst>
            <a:ext uri="{FF2B5EF4-FFF2-40B4-BE49-F238E27FC236}">
              <a16:creationId xmlns:a16="http://schemas.microsoft.com/office/drawing/2014/main" id="{D3344D02-8246-4C78-BAA9-DD20A83FCE27}"/>
            </a:ext>
          </a:extLst>
        </xdr:cNvPr>
        <xdr:cNvSpPr/>
      </xdr:nvSpPr>
      <xdr:spPr>
        <a:xfrm>
          <a:off x="1354062" y="7339439"/>
          <a:ext cx="159560" cy="356629"/>
        </a:xfrm>
        <a:prstGeom prst="downArrowCallou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j</a:t>
          </a:r>
          <a:endParaRPr lang="ko-KR" altLang="en-US" sz="1100"/>
        </a:p>
      </xdr:txBody>
    </xdr:sp>
    <xdr:clientData/>
  </xdr:twoCellAnchor>
  <xdr:twoCellAnchor>
    <xdr:from>
      <xdr:col>16</xdr:col>
      <xdr:colOff>250672</xdr:colOff>
      <xdr:row>45</xdr:row>
      <xdr:rowOff>105104</xdr:rowOff>
    </xdr:from>
    <xdr:to>
      <xdr:col>21</xdr:col>
      <xdr:colOff>269328</xdr:colOff>
      <xdr:row>47</xdr:row>
      <xdr:rowOff>73311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8CE70644-2222-C898-7CF5-6AFD28E23AAF}"/>
            </a:ext>
          </a:extLst>
        </xdr:cNvPr>
        <xdr:cNvSpPr txBox="1"/>
      </xdr:nvSpPr>
      <xdr:spPr>
        <a:xfrm>
          <a:off x="5886844" y="8138949"/>
          <a:ext cx="1726587" cy="401759"/>
        </a:xfrm>
        <a:prstGeom prst="rect">
          <a:avLst/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sum &lt; S </a:t>
          </a:r>
          <a:r>
            <a:rPr lang="ko-KR" altLang="en-US" sz="1100"/>
            <a:t>인 동안 </a:t>
          </a:r>
          <a:r>
            <a:rPr lang="en-US" altLang="ko-KR" sz="1100"/>
            <a:t>j </a:t>
          </a:r>
          <a:r>
            <a:rPr lang="ko-KR" altLang="en-US" sz="1100"/>
            <a:t>진행</a:t>
          </a:r>
        </a:p>
      </xdr:txBody>
    </xdr:sp>
    <xdr:clientData/>
  </xdr:twoCellAnchor>
  <xdr:twoCellAnchor>
    <xdr:from>
      <xdr:col>16</xdr:col>
      <xdr:colOff>246862</xdr:colOff>
      <xdr:row>40</xdr:row>
      <xdr:rowOff>136043</xdr:rowOff>
    </xdr:from>
    <xdr:to>
      <xdr:col>21</xdr:col>
      <xdr:colOff>269328</xdr:colOff>
      <xdr:row>42</xdr:row>
      <xdr:rowOff>106155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21D357FF-92BD-72F3-0B46-3A5EFF3DFC7D}"/>
            </a:ext>
          </a:extLst>
        </xdr:cNvPr>
        <xdr:cNvSpPr txBox="1"/>
      </xdr:nvSpPr>
      <xdr:spPr>
        <a:xfrm>
          <a:off x="5883034" y="7736336"/>
          <a:ext cx="1730397" cy="403664"/>
        </a:xfrm>
        <a:prstGeom prst="rect">
          <a:avLst/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sum &lt; S </a:t>
          </a:r>
          <a:r>
            <a:rPr lang="ko-KR" altLang="en-US" sz="1100"/>
            <a:t>인 동안 </a:t>
          </a:r>
          <a:r>
            <a:rPr lang="en-US" altLang="ko-KR" sz="1100"/>
            <a:t>j </a:t>
          </a:r>
          <a:r>
            <a:rPr lang="ko-KR" altLang="en-US" sz="1100"/>
            <a:t>진행</a:t>
          </a:r>
        </a:p>
      </xdr:txBody>
    </xdr:sp>
    <xdr:clientData/>
  </xdr:twoCellAnchor>
  <xdr:twoCellAnchor>
    <xdr:from>
      <xdr:col>1</xdr:col>
      <xdr:colOff>59975</xdr:colOff>
      <xdr:row>31</xdr:row>
      <xdr:rowOff>145567</xdr:rowOff>
    </xdr:from>
    <xdr:to>
      <xdr:col>1</xdr:col>
      <xdr:colOff>221440</xdr:colOff>
      <xdr:row>33</xdr:row>
      <xdr:rowOff>61024</xdr:rowOff>
    </xdr:to>
    <xdr:sp macro="" textlink="">
      <xdr:nvSpPr>
        <xdr:cNvPr id="52" name="설명선: 아래쪽 화살표 51">
          <a:extLst>
            <a:ext uri="{FF2B5EF4-FFF2-40B4-BE49-F238E27FC236}">
              <a16:creationId xmlns:a16="http://schemas.microsoft.com/office/drawing/2014/main" id="{275BAAB8-232A-4E4D-94A0-C134F80E0A29}"/>
            </a:ext>
          </a:extLst>
        </xdr:cNvPr>
        <xdr:cNvSpPr/>
      </xdr:nvSpPr>
      <xdr:spPr>
        <a:xfrm>
          <a:off x="568544" y="7960731"/>
          <a:ext cx="163370" cy="347104"/>
        </a:xfrm>
        <a:prstGeom prst="downArrowCallou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L</a:t>
          </a:r>
          <a:endParaRPr lang="ko-KR" altLang="en-US" sz="1100"/>
        </a:p>
      </xdr:txBody>
    </xdr:sp>
    <xdr:clientData/>
  </xdr:twoCellAnchor>
  <xdr:twoCellAnchor>
    <xdr:from>
      <xdr:col>1</xdr:col>
      <xdr:colOff>222295</xdr:colOff>
      <xdr:row>31</xdr:row>
      <xdr:rowOff>129474</xdr:rowOff>
    </xdr:from>
    <xdr:to>
      <xdr:col>2</xdr:col>
      <xdr:colOff>44078</xdr:colOff>
      <xdr:row>33</xdr:row>
      <xdr:rowOff>50646</xdr:rowOff>
    </xdr:to>
    <xdr:sp macro="" textlink="">
      <xdr:nvSpPr>
        <xdr:cNvPr id="53" name="설명선: 아래쪽 화살표 52">
          <a:extLst>
            <a:ext uri="{FF2B5EF4-FFF2-40B4-BE49-F238E27FC236}">
              <a16:creationId xmlns:a16="http://schemas.microsoft.com/office/drawing/2014/main" id="{5FC10F16-553A-48A7-B492-ACA5AF1DCD4F}"/>
            </a:ext>
          </a:extLst>
        </xdr:cNvPr>
        <xdr:cNvSpPr/>
      </xdr:nvSpPr>
      <xdr:spPr>
        <a:xfrm>
          <a:off x="734674" y="6862664"/>
          <a:ext cx="163370" cy="354723"/>
        </a:xfrm>
        <a:prstGeom prst="downArrowCallou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R</a:t>
          </a:r>
          <a:endParaRPr lang="ko-KR" altLang="en-US" sz="1100"/>
        </a:p>
      </xdr:txBody>
    </xdr:sp>
    <xdr:clientData/>
  </xdr:twoCellAnchor>
  <xdr:twoCellAnchor>
    <xdr:from>
      <xdr:col>16</xdr:col>
      <xdr:colOff>250672</xdr:colOff>
      <xdr:row>35</xdr:row>
      <xdr:rowOff>86249</xdr:rowOff>
    </xdr:from>
    <xdr:to>
      <xdr:col>21</xdr:col>
      <xdr:colOff>269328</xdr:colOff>
      <xdr:row>37</xdr:row>
      <xdr:rowOff>58266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B2A3CD06-BA5E-8BA9-B6E6-DF880E7C33C8}"/>
            </a:ext>
          </a:extLst>
        </xdr:cNvPr>
        <xdr:cNvSpPr txBox="1"/>
      </xdr:nvSpPr>
      <xdr:spPr>
        <a:xfrm>
          <a:off x="5886844" y="7686542"/>
          <a:ext cx="1726587" cy="405569"/>
        </a:xfrm>
        <a:prstGeom prst="rect">
          <a:avLst/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sum &lt; S </a:t>
          </a:r>
          <a:r>
            <a:rPr lang="ko-KR" altLang="en-US" sz="1100"/>
            <a:t>인 동안 </a:t>
          </a:r>
          <a:r>
            <a:rPr lang="en-US" altLang="ko-KR" sz="1100"/>
            <a:t>j </a:t>
          </a:r>
          <a:r>
            <a:rPr lang="ko-KR" altLang="en-US" sz="1100"/>
            <a:t>진행</a:t>
          </a:r>
        </a:p>
      </xdr:txBody>
    </xdr:sp>
    <xdr:clientData/>
  </xdr:twoCellAnchor>
  <xdr:twoCellAnchor>
    <xdr:from>
      <xdr:col>16</xdr:col>
      <xdr:colOff>249621</xdr:colOff>
      <xdr:row>115</xdr:row>
      <xdr:rowOff>153846</xdr:rowOff>
    </xdr:from>
    <xdr:to>
      <xdr:col>21</xdr:col>
      <xdr:colOff>287327</xdr:colOff>
      <xdr:row>117</xdr:row>
      <xdr:rowOff>125863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FAB3957-688F-30C9-E238-97CD0274F683}"/>
            </a:ext>
          </a:extLst>
        </xdr:cNvPr>
        <xdr:cNvSpPr txBox="1"/>
      </xdr:nvSpPr>
      <xdr:spPr>
        <a:xfrm>
          <a:off x="5885793" y="24012329"/>
          <a:ext cx="1745637" cy="405568"/>
        </a:xfrm>
        <a:prstGeom prst="rect">
          <a:avLst/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sum &lt; S </a:t>
          </a:r>
          <a:r>
            <a:rPr lang="ko-KR" altLang="en-US" sz="1100"/>
            <a:t>인 동안 </a:t>
          </a:r>
          <a:r>
            <a:rPr lang="en-US" altLang="ko-KR" sz="1100"/>
            <a:t>j </a:t>
          </a:r>
          <a:r>
            <a:rPr lang="ko-KR" altLang="en-US" sz="1100"/>
            <a:t>진행</a:t>
          </a:r>
        </a:p>
      </xdr:txBody>
    </xdr:sp>
    <xdr:clientData/>
  </xdr:twoCellAnchor>
  <xdr:twoCellAnchor>
    <xdr:from>
      <xdr:col>11</xdr:col>
      <xdr:colOff>202391</xdr:colOff>
      <xdr:row>116</xdr:row>
      <xdr:rowOff>171844</xdr:rowOff>
    </xdr:from>
    <xdr:to>
      <xdr:col>12</xdr:col>
      <xdr:colOff>35604</xdr:colOff>
      <xdr:row>118</xdr:row>
      <xdr:rowOff>96826</xdr:rowOff>
    </xdr:to>
    <xdr:sp macro="" textlink="">
      <xdr:nvSpPr>
        <xdr:cNvPr id="57" name="설명선: 아래쪽 화살표 56">
          <a:extLst>
            <a:ext uri="{FF2B5EF4-FFF2-40B4-BE49-F238E27FC236}">
              <a16:creationId xmlns:a16="http://schemas.microsoft.com/office/drawing/2014/main" id="{775D6B4C-D786-4E98-B8FC-C45EF93ACED0}"/>
            </a:ext>
          </a:extLst>
        </xdr:cNvPr>
        <xdr:cNvSpPr/>
      </xdr:nvSpPr>
      <xdr:spPr>
        <a:xfrm>
          <a:off x="4130632" y="24247103"/>
          <a:ext cx="174800" cy="358533"/>
        </a:xfrm>
        <a:prstGeom prst="downArrowCallou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j</a:t>
          </a:r>
          <a:endParaRPr lang="ko-KR" altLang="en-US" sz="1100"/>
        </a:p>
      </xdr:txBody>
    </xdr:sp>
    <xdr:clientData/>
  </xdr:twoCellAnchor>
  <xdr:twoCellAnchor>
    <xdr:from>
      <xdr:col>11</xdr:col>
      <xdr:colOff>202391</xdr:colOff>
      <xdr:row>121</xdr:row>
      <xdr:rowOff>171844</xdr:rowOff>
    </xdr:from>
    <xdr:to>
      <xdr:col>12</xdr:col>
      <xdr:colOff>35604</xdr:colOff>
      <xdr:row>123</xdr:row>
      <xdr:rowOff>96826</xdr:rowOff>
    </xdr:to>
    <xdr:sp macro="" textlink="">
      <xdr:nvSpPr>
        <xdr:cNvPr id="59" name="설명선: 아래쪽 화살표 58">
          <a:extLst>
            <a:ext uri="{FF2B5EF4-FFF2-40B4-BE49-F238E27FC236}">
              <a16:creationId xmlns:a16="http://schemas.microsoft.com/office/drawing/2014/main" id="{6832B131-D043-4EFD-B0A3-E022C6C1782D}"/>
            </a:ext>
          </a:extLst>
        </xdr:cNvPr>
        <xdr:cNvSpPr/>
      </xdr:nvSpPr>
      <xdr:spPr>
        <a:xfrm>
          <a:off x="4134442" y="24243293"/>
          <a:ext cx="170990" cy="358533"/>
        </a:xfrm>
        <a:prstGeom prst="downArrowCallou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j</a:t>
          </a:r>
          <a:endParaRPr lang="ko-KR" altLang="en-US" sz="1100"/>
        </a:p>
      </xdr:txBody>
    </xdr:sp>
    <xdr:clientData/>
  </xdr:twoCellAnchor>
  <xdr:twoCellAnchor>
    <xdr:from>
      <xdr:col>16</xdr:col>
      <xdr:colOff>218682</xdr:colOff>
      <xdr:row>120</xdr:row>
      <xdr:rowOff>173752</xdr:rowOff>
    </xdr:from>
    <xdr:to>
      <xdr:col>21</xdr:col>
      <xdr:colOff>256388</xdr:colOff>
      <xdr:row>122</xdr:row>
      <xdr:rowOff>130529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44FC1ABF-5952-73BD-EDBA-AA639CC71E5E}"/>
            </a:ext>
          </a:extLst>
        </xdr:cNvPr>
        <xdr:cNvSpPr txBox="1"/>
      </xdr:nvSpPr>
      <xdr:spPr>
        <a:xfrm>
          <a:off x="5854854" y="25116114"/>
          <a:ext cx="1745637" cy="390329"/>
        </a:xfrm>
        <a:prstGeom prst="rect">
          <a:avLst/>
        </a:prstGeom>
        <a:ln/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sum &gt;= S </a:t>
          </a:r>
          <a:r>
            <a:rPr lang="ko-KR" altLang="en-US" sz="1100"/>
            <a:t>인 동안 </a:t>
          </a:r>
          <a:r>
            <a:rPr lang="en-US" altLang="ko-KR" sz="1100"/>
            <a:t>i </a:t>
          </a:r>
          <a:r>
            <a:rPr lang="ko-KR" altLang="en-US" sz="1100"/>
            <a:t>진행</a:t>
          </a:r>
        </a:p>
      </xdr:txBody>
    </xdr:sp>
    <xdr:clientData/>
  </xdr:twoCellAnchor>
  <xdr:twoCellAnchor>
    <xdr:from>
      <xdr:col>11</xdr:col>
      <xdr:colOff>202391</xdr:colOff>
      <xdr:row>126</xdr:row>
      <xdr:rowOff>171844</xdr:rowOff>
    </xdr:from>
    <xdr:to>
      <xdr:col>12</xdr:col>
      <xdr:colOff>35604</xdr:colOff>
      <xdr:row>128</xdr:row>
      <xdr:rowOff>96826</xdr:rowOff>
    </xdr:to>
    <xdr:sp macro="" textlink="">
      <xdr:nvSpPr>
        <xdr:cNvPr id="62" name="설명선: 아래쪽 화살표 61">
          <a:extLst>
            <a:ext uri="{FF2B5EF4-FFF2-40B4-BE49-F238E27FC236}">
              <a16:creationId xmlns:a16="http://schemas.microsoft.com/office/drawing/2014/main" id="{1E230C10-47AB-4D0B-9023-188877B7D669}"/>
            </a:ext>
          </a:extLst>
        </xdr:cNvPr>
        <xdr:cNvSpPr/>
      </xdr:nvSpPr>
      <xdr:spPr>
        <a:xfrm>
          <a:off x="4134442" y="25327172"/>
          <a:ext cx="170990" cy="358534"/>
        </a:xfrm>
        <a:prstGeom prst="downArrowCallou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j</a:t>
          </a:r>
          <a:endParaRPr lang="ko-KR" altLang="en-US" sz="1100"/>
        </a:p>
      </xdr:txBody>
    </xdr:sp>
    <xdr:clientData/>
  </xdr:twoCellAnchor>
  <xdr:twoCellAnchor>
    <xdr:from>
      <xdr:col>16</xdr:col>
      <xdr:colOff>216777</xdr:colOff>
      <xdr:row>125</xdr:row>
      <xdr:rowOff>77977</xdr:rowOff>
    </xdr:from>
    <xdr:to>
      <xdr:col>21</xdr:col>
      <xdr:colOff>254483</xdr:colOff>
      <xdr:row>127</xdr:row>
      <xdr:rowOff>42374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59B4110B-CD68-C99B-75A1-53F7253E3D33}"/>
            </a:ext>
          </a:extLst>
        </xdr:cNvPr>
        <xdr:cNvSpPr txBox="1"/>
      </xdr:nvSpPr>
      <xdr:spPr>
        <a:xfrm>
          <a:off x="5852949" y="26104218"/>
          <a:ext cx="1745637" cy="397949"/>
        </a:xfrm>
        <a:prstGeom prst="rect">
          <a:avLst/>
        </a:prstGeom>
        <a:ln/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sum &gt;= S </a:t>
          </a:r>
          <a:r>
            <a:rPr lang="ko-KR" altLang="en-US" sz="1100"/>
            <a:t>인 동안 </a:t>
          </a:r>
          <a:r>
            <a:rPr lang="en-US" altLang="ko-KR" sz="1100"/>
            <a:t>i </a:t>
          </a:r>
          <a:r>
            <a:rPr lang="ko-KR" altLang="en-US" sz="1100"/>
            <a:t>진행</a:t>
          </a:r>
        </a:p>
      </xdr:txBody>
    </xdr:sp>
    <xdr:clientData/>
  </xdr:twoCellAnchor>
  <xdr:twoCellAnchor>
    <xdr:from>
      <xdr:col>11</xdr:col>
      <xdr:colOff>202391</xdr:colOff>
      <xdr:row>131</xdr:row>
      <xdr:rowOff>171844</xdr:rowOff>
    </xdr:from>
    <xdr:to>
      <xdr:col>12</xdr:col>
      <xdr:colOff>35604</xdr:colOff>
      <xdr:row>133</xdr:row>
      <xdr:rowOff>96826</xdr:rowOff>
    </xdr:to>
    <xdr:sp macro="" textlink="">
      <xdr:nvSpPr>
        <xdr:cNvPr id="65" name="설명선: 아래쪽 화살표 64">
          <a:extLst>
            <a:ext uri="{FF2B5EF4-FFF2-40B4-BE49-F238E27FC236}">
              <a16:creationId xmlns:a16="http://schemas.microsoft.com/office/drawing/2014/main" id="{098D487F-29D0-4F3A-8643-EBA4A34A9473}"/>
            </a:ext>
          </a:extLst>
        </xdr:cNvPr>
        <xdr:cNvSpPr/>
      </xdr:nvSpPr>
      <xdr:spPr>
        <a:xfrm>
          <a:off x="4134442" y="26411051"/>
          <a:ext cx="170990" cy="358534"/>
        </a:xfrm>
        <a:prstGeom prst="downArrowCallou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j</a:t>
          </a:r>
          <a:endParaRPr lang="ko-KR" altLang="en-US" sz="1100"/>
        </a:p>
      </xdr:txBody>
    </xdr:sp>
    <xdr:clientData/>
  </xdr:twoCellAnchor>
  <xdr:twoCellAnchor>
    <xdr:from>
      <xdr:col>16</xdr:col>
      <xdr:colOff>212967</xdr:colOff>
      <xdr:row>130</xdr:row>
      <xdr:rowOff>143666</xdr:rowOff>
    </xdr:from>
    <xdr:to>
      <xdr:col>21</xdr:col>
      <xdr:colOff>250673</xdr:colOff>
      <xdr:row>132</xdr:row>
      <xdr:rowOff>109969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3B8C3ABB-4E16-DCC0-1FEC-8C1689A1E81B}"/>
            </a:ext>
          </a:extLst>
        </xdr:cNvPr>
        <xdr:cNvSpPr txBox="1"/>
      </xdr:nvSpPr>
      <xdr:spPr>
        <a:xfrm>
          <a:off x="5849139" y="27253787"/>
          <a:ext cx="1745637" cy="399854"/>
        </a:xfrm>
        <a:prstGeom prst="rect">
          <a:avLst/>
        </a:prstGeom>
        <a:ln/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sum &gt;= S </a:t>
          </a:r>
          <a:r>
            <a:rPr lang="ko-KR" altLang="en-US" sz="1100"/>
            <a:t>인 동안 </a:t>
          </a:r>
          <a:r>
            <a:rPr lang="en-US" altLang="ko-KR" sz="1100"/>
            <a:t>i </a:t>
          </a:r>
          <a:r>
            <a:rPr lang="ko-KR" altLang="en-US" sz="1100"/>
            <a:t>진행</a:t>
          </a:r>
        </a:p>
      </xdr:txBody>
    </xdr:sp>
    <xdr:clientData/>
  </xdr:twoCellAnchor>
  <xdr:twoCellAnchor>
    <xdr:from>
      <xdr:col>12</xdr:col>
      <xdr:colOff>160218</xdr:colOff>
      <xdr:row>136</xdr:row>
      <xdr:rowOff>161465</xdr:rowOff>
    </xdr:from>
    <xdr:to>
      <xdr:col>12</xdr:col>
      <xdr:colOff>331208</xdr:colOff>
      <xdr:row>138</xdr:row>
      <xdr:rowOff>86447</xdr:rowOff>
    </xdr:to>
    <xdr:sp macro="" textlink="">
      <xdr:nvSpPr>
        <xdr:cNvPr id="68" name="설명선: 아래쪽 화살표 67">
          <a:extLst>
            <a:ext uri="{FF2B5EF4-FFF2-40B4-BE49-F238E27FC236}">
              <a16:creationId xmlns:a16="http://schemas.microsoft.com/office/drawing/2014/main" id="{D34CD46B-F946-4869-9984-FAABC744C6FF}"/>
            </a:ext>
          </a:extLst>
        </xdr:cNvPr>
        <xdr:cNvSpPr/>
      </xdr:nvSpPr>
      <xdr:spPr>
        <a:xfrm>
          <a:off x="4430046" y="28572241"/>
          <a:ext cx="170990" cy="358534"/>
        </a:xfrm>
        <a:prstGeom prst="downArrowCallou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j</a:t>
          </a:r>
          <a:endParaRPr lang="ko-KR" altLang="en-US" sz="1100"/>
        </a:p>
      </xdr:txBody>
    </xdr:sp>
    <xdr:clientData/>
  </xdr:twoCellAnchor>
  <xdr:twoCellAnchor>
    <xdr:from>
      <xdr:col>16</xdr:col>
      <xdr:colOff>245811</xdr:colOff>
      <xdr:row>135</xdr:row>
      <xdr:rowOff>69303</xdr:rowOff>
    </xdr:from>
    <xdr:to>
      <xdr:col>21</xdr:col>
      <xdr:colOff>283517</xdr:colOff>
      <xdr:row>139</xdr:row>
      <xdr:rowOff>52552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4CEEC79-650F-4904-D716-68A3465D0130}"/>
            </a:ext>
          </a:extLst>
        </xdr:cNvPr>
        <xdr:cNvSpPr txBox="1"/>
      </xdr:nvSpPr>
      <xdr:spPr>
        <a:xfrm>
          <a:off x="5881983" y="28263303"/>
          <a:ext cx="1745637" cy="850352"/>
        </a:xfrm>
        <a:prstGeom prst="rect">
          <a:avLst/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sum &lt; S </a:t>
          </a:r>
          <a:r>
            <a:rPr lang="ko-KR" altLang="en-US" sz="1100"/>
            <a:t>인 동안 </a:t>
          </a:r>
          <a:r>
            <a:rPr lang="en-US" altLang="ko-KR" sz="1100"/>
            <a:t>j </a:t>
          </a:r>
          <a:r>
            <a:rPr lang="ko-KR" altLang="en-US" sz="1100"/>
            <a:t>진행</a:t>
          </a:r>
          <a:endParaRPr lang="en-US" altLang="ko-KR" sz="1100"/>
        </a:p>
        <a:p>
          <a:pPr algn="ctr"/>
          <a:endParaRPr lang="en-US" altLang="ko-KR" sz="1100"/>
        </a:p>
        <a:p>
          <a:pPr algn="ctr"/>
          <a:r>
            <a:rPr lang="en-US" altLang="ko-KR" sz="1100"/>
            <a:t>j &gt; N</a:t>
          </a:r>
          <a:r>
            <a:rPr lang="ko-KR" altLang="en-US" sz="1100"/>
            <a:t>이므로 종료</a:t>
          </a:r>
        </a:p>
      </xdr:txBody>
    </xdr:sp>
    <xdr:clientData/>
  </xdr:twoCellAnchor>
  <xdr:twoCellAnchor>
    <xdr:from>
      <xdr:col>8</xdr:col>
      <xdr:colOff>168185</xdr:colOff>
      <xdr:row>91</xdr:row>
      <xdr:rowOff>180120</xdr:rowOff>
    </xdr:from>
    <xdr:to>
      <xdr:col>8</xdr:col>
      <xdr:colOff>334774</xdr:colOff>
      <xdr:row>93</xdr:row>
      <xdr:rowOff>112722</xdr:rowOff>
    </xdr:to>
    <xdr:sp macro="" textlink="">
      <xdr:nvSpPr>
        <xdr:cNvPr id="71" name="설명선: 아래쪽 화살표 70">
          <a:extLst>
            <a:ext uri="{FF2B5EF4-FFF2-40B4-BE49-F238E27FC236}">
              <a16:creationId xmlns:a16="http://schemas.microsoft.com/office/drawing/2014/main" id="{C529C6CB-9936-429B-B5DC-2CDBF5F4B034}"/>
            </a:ext>
          </a:extLst>
        </xdr:cNvPr>
        <xdr:cNvSpPr/>
      </xdr:nvSpPr>
      <xdr:spPr>
        <a:xfrm>
          <a:off x="3085556" y="20003006"/>
          <a:ext cx="166589" cy="368030"/>
        </a:xfrm>
        <a:prstGeom prst="downArrowCallou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j</a:t>
          </a:r>
          <a:endParaRPr lang="ko-KR" altLang="en-US" sz="1100"/>
        </a:p>
      </xdr:txBody>
    </xdr:sp>
    <xdr:clientData/>
  </xdr:twoCellAnchor>
  <xdr:twoCellAnchor>
    <xdr:from>
      <xdr:col>16</xdr:col>
      <xdr:colOff>258949</xdr:colOff>
      <xdr:row>90</xdr:row>
      <xdr:rowOff>162405</xdr:rowOff>
    </xdr:from>
    <xdr:to>
      <xdr:col>21</xdr:col>
      <xdr:colOff>296655</xdr:colOff>
      <xdr:row>92</xdr:row>
      <xdr:rowOff>124895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5F713CDA-CA65-0FE4-D517-8D9176A6F158}"/>
            </a:ext>
          </a:extLst>
        </xdr:cNvPr>
        <xdr:cNvSpPr txBox="1"/>
      </xdr:nvSpPr>
      <xdr:spPr>
        <a:xfrm>
          <a:off x="5919520" y="19767576"/>
          <a:ext cx="1752206" cy="397919"/>
        </a:xfrm>
        <a:prstGeom prst="rect">
          <a:avLst/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sum &lt; S </a:t>
          </a:r>
          <a:r>
            <a:rPr lang="ko-KR" altLang="en-US" sz="1100"/>
            <a:t>인 동안 </a:t>
          </a:r>
          <a:r>
            <a:rPr lang="en-US" altLang="ko-KR" sz="1100"/>
            <a:t>j </a:t>
          </a:r>
          <a:r>
            <a:rPr lang="ko-KR" altLang="en-US" sz="1100"/>
            <a:t>진행</a:t>
          </a:r>
        </a:p>
      </xdr:txBody>
    </xdr:sp>
    <xdr:clientData/>
  </xdr:twoCellAnchor>
  <xdr:twoCellAnchor>
    <xdr:from>
      <xdr:col>1</xdr:col>
      <xdr:colOff>98175</xdr:colOff>
      <xdr:row>36</xdr:row>
      <xdr:rowOff>108571</xdr:rowOff>
    </xdr:from>
    <xdr:to>
      <xdr:col>1</xdr:col>
      <xdr:colOff>255830</xdr:colOff>
      <xdr:row>38</xdr:row>
      <xdr:rowOff>18313</xdr:rowOff>
    </xdr:to>
    <xdr:sp macro="" textlink="">
      <xdr:nvSpPr>
        <xdr:cNvPr id="73" name="설명선: 아래쪽 화살표 72">
          <a:extLst>
            <a:ext uri="{FF2B5EF4-FFF2-40B4-BE49-F238E27FC236}">
              <a16:creationId xmlns:a16="http://schemas.microsoft.com/office/drawing/2014/main" id="{2CB5DFCD-C6F2-E5F1-D043-E97F2F5E363A}"/>
            </a:ext>
          </a:extLst>
        </xdr:cNvPr>
        <xdr:cNvSpPr/>
      </xdr:nvSpPr>
      <xdr:spPr>
        <a:xfrm>
          <a:off x="614530" y="8059439"/>
          <a:ext cx="157655" cy="350900"/>
        </a:xfrm>
        <a:prstGeom prst="downArrowCallou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L</a:t>
          </a:r>
          <a:endParaRPr lang="ko-KR" altLang="en-US" sz="1100"/>
        </a:p>
      </xdr:txBody>
    </xdr:sp>
    <xdr:clientData/>
  </xdr:twoCellAnchor>
  <xdr:twoCellAnchor>
    <xdr:from>
      <xdr:col>2</xdr:col>
      <xdr:colOff>56158</xdr:colOff>
      <xdr:row>36</xdr:row>
      <xdr:rowOff>104409</xdr:rowOff>
    </xdr:from>
    <xdr:to>
      <xdr:col>2</xdr:col>
      <xdr:colOff>226456</xdr:colOff>
      <xdr:row>38</xdr:row>
      <xdr:rowOff>25581</xdr:rowOff>
    </xdr:to>
    <xdr:sp macro="" textlink="">
      <xdr:nvSpPr>
        <xdr:cNvPr id="74" name="설명선: 아래쪽 화살표 73">
          <a:extLst>
            <a:ext uri="{FF2B5EF4-FFF2-40B4-BE49-F238E27FC236}">
              <a16:creationId xmlns:a16="http://schemas.microsoft.com/office/drawing/2014/main" id="{0DE369FF-3821-BB56-5974-CE52C7528E44}"/>
            </a:ext>
          </a:extLst>
        </xdr:cNvPr>
        <xdr:cNvSpPr/>
      </xdr:nvSpPr>
      <xdr:spPr>
        <a:xfrm>
          <a:off x="913408" y="8055277"/>
          <a:ext cx="170298" cy="362330"/>
        </a:xfrm>
        <a:prstGeom prst="downArrowCallou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R</a:t>
          </a:r>
          <a:endParaRPr lang="ko-KR" altLang="en-US" sz="1100"/>
        </a:p>
      </xdr:txBody>
    </xdr:sp>
    <xdr:clientData/>
  </xdr:twoCellAnchor>
  <xdr:twoCellAnchor>
    <xdr:from>
      <xdr:col>1</xdr:col>
      <xdr:colOff>94365</xdr:colOff>
      <xdr:row>41</xdr:row>
      <xdr:rowOff>96640</xdr:rowOff>
    </xdr:from>
    <xdr:to>
      <xdr:col>1</xdr:col>
      <xdr:colOff>253925</xdr:colOff>
      <xdr:row>43</xdr:row>
      <xdr:rowOff>12097</xdr:rowOff>
    </xdr:to>
    <xdr:sp macro="" textlink="">
      <xdr:nvSpPr>
        <xdr:cNvPr id="75" name="설명선: 아래쪽 화살표 74">
          <a:extLst>
            <a:ext uri="{FF2B5EF4-FFF2-40B4-BE49-F238E27FC236}">
              <a16:creationId xmlns:a16="http://schemas.microsoft.com/office/drawing/2014/main" id="{F4998DD6-6A92-844A-E793-F9DCBE5C3B1B}"/>
            </a:ext>
          </a:extLst>
        </xdr:cNvPr>
        <xdr:cNvSpPr/>
      </xdr:nvSpPr>
      <xdr:spPr>
        <a:xfrm>
          <a:off x="610720" y="9150403"/>
          <a:ext cx="159560" cy="356615"/>
        </a:xfrm>
        <a:prstGeom prst="downArrowCallou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L</a:t>
          </a:r>
          <a:endParaRPr lang="ko-KR" altLang="en-US" sz="1100"/>
        </a:p>
      </xdr:txBody>
    </xdr:sp>
    <xdr:clientData/>
  </xdr:twoCellAnchor>
  <xdr:twoCellAnchor>
    <xdr:from>
      <xdr:col>1</xdr:col>
      <xdr:colOff>98175</xdr:colOff>
      <xdr:row>46</xdr:row>
      <xdr:rowOff>107869</xdr:rowOff>
    </xdr:from>
    <xdr:to>
      <xdr:col>1</xdr:col>
      <xdr:colOff>250115</xdr:colOff>
      <xdr:row>48</xdr:row>
      <xdr:rowOff>30946</xdr:rowOff>
    </xdr:to>
    <xdr:sp macro="" textlink="">
      <xdr:nvSpPr>
        <xdr:cNvPr id="76" name="설명선: 아래쪽 화살표 75">
          <a:extLst>
            <a:ext uri="{FF2B5EF4-FFF2-40B4-BE49-F238E27FC236}">
              <a16:creationId xmlns:a16="http://schemas.microsoft.com/office/drawing/2014/main" id="{18A77058-FBA4-61B7-BA30-C6B7AF879239}"/>
            </a:ext>
          </a:extLst>
        </xdr:cNvPr>
        <xdr:cNvSpPr/>
      </xdr:nvSpPr>
      <xdr:spPr>
        <a:xfrm>
          <a:off x="614530" y="10264527"/>
          <a:ext cx="151940" cy="364235"/>
        </a:xfrm>
        <a:prstGeom prst="downArrowCallou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L</a:t>
          </a:r>
          <a:endParaRPr lang="ko-KR" altLang="en-US" sz="1100"/>
        </a:p>
      </xdr:txBody>
    </xdr:sp>
    <xdr:clientData/>
  </xdr:twoCellAnchor>
  <xdr:twoCellAnchor>
    <xdr:from>
      <xdr:col>1</xdr:col>
      <xdr:colOff>94365</xdr:colOff>
      <xdr:row>51</xdr:row>
      <xdr:rowOff>110977</xdr:rowOff>
    </xdr:from>
    <xdr:to>
      <xdr:col>1</xdr:col>
      <xdr:colOff>246305</xdr:colOff>
      <xdr:row>53</xdr:row>
      <xdr:rowOff>34054</xdr:rowOff>
    </xdr:to>
    <xdr:sp macro="" textlink="">
      <xdr:nvSpPr>
        <xdr:cNvPr id="77" name="설명선: 아래쪽 화살표 76">
          <a:extLst>
            <a:ext uri="{FF2B5EF4-FFF2-40B4-BE49-F238E27FC236}">
              <a16:creationId xmlns:a16="http://schemas.microsoft.com/office/drawing/2014/main" id="{FE5638F1-7B3A-7D1C-8992-F04873E7BB89}"/>
            </a:ext>
          </a:extLst>
        </xdr:cNvPr>
        <xdr:cNvSpPr/>
      </xdr:nvSpPr>
      <xdr:spPr>
        <a:xfrm>
          <a:off x="610720" y="11370530"/>
          <a:ext cx="151940" cy="364235"/>
        </a:xfrm>
        <a:prstGeom prst="downArrowCallou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L</a:t>
          </a:r>
          <a:endParaRPr lang="ko-KR" altLang="en-US" sz="1100"/>
        </a:p>
      </xdr:txBody>
    </xdr:sp>
    <xdr:clientData/>
  </xdr:twoCellAnchor>
  <xdr:twoCellAnchor>
    <xdr:from>
      <xdr:col>1</xdr:col>
      <xdr:colOff>94365</xdr:colOff>
      <xdr:row>56</xdr:row>
      <xdr:rowOff>97142</xdr:rowOff>
    </xdr:from>
    <xdr:to>
      <xdr:col>1</xdr:col>
      <xdr:colOff>246305</xdr:colOff>
      <xdr:row>58</xdr:row>
      <xdr:rowOff>18314</xdr:rowOff>
    </xdr:to>
    <xdr:sp macro="" textlink="">
      <xdr:nvSpPr>
        <xdr:cNvPr id="78" name="설명선: 아래쪽 화살표 77">
          <a:extLst>
            <a:ext uri="{FF2B5EF4-FFF2-40B4-BE49-F238E27FC236}">
              <a16:creationId xmlns:a16="http://schemas.microsoft.com/office/drawing/2014/main" id="{370B83A3-19B4-8278-F2B1-95DBDE7F51B9}"/>
            </a:ext>
          </a:extLst>
        </xdr:cNvPr>
        <xdr:cNvSpPr/>
      </xdr:nvSpPr>
      <xdr:spPr>
        <a:xfrm>
          <a:off x="610720" y="12459589"/>
          <a:ext cx="151940" cy="362330"/>
        </a:xfrm>
        <a:prstGeom prst="downArrowCallou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L</a:t>
          </a:r>
          <a:endParaRPr lang="ko-KR" altLang="en-US" sz="1100"/>
        </a:p>
      </xdr:txBody>
    </xdr:sp>
    <xdr:clientData/>
  </xdr:twoCellAnchor>
  <xdr:twoCellAnchor>
    <xdr:from>
      <xdr:col>2</xdr:col>
      <xdr:colOff>33003</xdr:colOff>
      <xdr:row>61</xdr:row>
      <xdr:rowOff>158502</xdr:rowOff>
    </xdr:from>
    <xdr:to>
      <xdr:col>2</xdr:col>
      <xdr:colOff>184943</xdr:colOff>
      <xdr:row>63</xdr:row>
      <xdr:rowOff>87294</xdr:rowOff>
    </xdr:to>
    <xdr:sp macro="" textlink="">
      <xdr:nvSpPr>
        <xdr:cNvPr id="79" name="설명선: 아래쪽 화살표 78">
          <a:extLst>
            <a:ext uri="{FF2B5EF4-FFF2-40B4-BE49-F238E27FC236}">
              <a16:creationId xmlns:a16="http://schemas.microsoft.com/office/drawing/2014/main" id="{03F51E3F-CEBA-D4D7-2488-10255B842563}"/>
            </a:ext>
          </a:extLst>
        </xdr:cNvPr>
        <xdr:cNvSpPr/>
      </xdr:nvSpPr>
      <xdr:spPr>
        <a:xfrm>
          <a:off x="890253" y="13623844"/>
          <a:ext cx="151940" cy="369950"/>
        </a:xfrm>
        <a:prstGeom prst="downArrowCallou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L</a:t>
          </a:r>
          <a:endParaRPr lang="ko-KR" altLang="en-US" sz="1100"/>
        </a:p>
      </xdr:txBody>
    </xdr:sp>
    <xdr:clientData/>
  </xdr:twoCellAnchor>
  <xdr:twoCellAnchor>
    <xdr:from>
      <xdr:col>3</xdr:col>
      <xdr:colOff>94365</xdr:colOff>
      <xdr:row>66</xdr:row>
      <xdr:rowOff>106465</xdr:rowOff>
    </xdr:from>
    <xdr:to>
      <xdr:col>3</xdr:col>
      <xdr:colOff>246305</xdr:colOff>
      <xdr:row>68</xdr:row>
      <xdr:rowOff>37162</xdr:rowOff>
    </xdr:to>
    <xdr:sp macro="" textlink="">
      <xdr:nvSpPr>
        <xdr:cNvPr id="80" name="설명선: 아래쪽 화살표 79">
          <a:extLst>
            <a:ext uri="{FF2B5EF4-FFF2-40B4-BE49-F238E27FC236}">
              <a16:creationId xmlns:a16="http://schemas.microsoft.com/office/drawing/2014/main" id="{22CE734D-27DD-D6C7-3A8B-D156C4677BE8}"/>
            </a:ext>
          </a:extLst>
        </xdr:cNvPr>
        <xdr:cNvSpPr/>
      </xdr:nvSpPr>
      <xdr:spPr>
        <a:xfrm>
          <a:off x="1292510" y="14674702"/>
          <a:ext cx="151940" cy="371855"/>
        </a:xfrm>
        <a:prstGeom prst="downArrowCallou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L</a:t>
          </a:r>
          <a:endParaRPr lang="ko-KR" altLang="en-US" sz="1100"/>
        </a:p>
      </xdr:txBody>
    </xdr:sp>
    <xdr:clientData/>
  </xdr:twoCellAnchor>
  <xdr:twoCellAnchor>
    <xdr:from>
      <xdr:col>4</xdr:col>
      <xdr:colOff>113215</xdr:colOff>
      <xdr:row>71</xdr:row>
      <xdr:rowOff>74481</xdr:rowOff>
    </xdr:from>
    <xdr:to>
      <xdr:col>4</xdr:col>
      <xdr:colOff>265155</xdr:colOff>
      <xdr:row>73</xdr:row>
      <xdr:rowOff>7084</xdr:rowOff>
    </xdr:to>
    <xdr:sp macro="" textlink="">
      <xdr:nvSpPr>
        <xdr:cNvPr id="81" name="설명선: 아래쪽 화살표 80">
          <a:extLst>
            <a:ext uri="{FF2B5EF4-FFF2-40B4-BE49-F238E27FC236}">
              <a16:creationId xmlns:a16="http://schemas.microsoft.com/office/drawing/2014/main" id="{893D5B0B-04C8-C88C-F362-7931D06E4624}"/>
            </a:ext>
          </a:extLst>
        </xdr:cNvPr>
        <xdr:cNvSpPr/>
      </xdr:nvSpPr>
      <xdr:spPr>
        <a:xfrm>
          <a:off x="1652254" y="15745613"/>
          <a:ext cx="151940" cy="373760"/>
        </a:xfrm>
        <a:prstGeom prst="downArrowCallou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L</a:t>
          </a:r>
          <a:endParaRPr lang="ko-KR" altLang="en-US" sz="1100"/>
        </a:p>
      </xdr:txBody>
    </xdr:sp>
    <xdr:clientData/>
  </xdr:twoCellAnchor>
  <xdr:twoCellAnchor>
    <xdr:from>
      <xdr:col>5</xdr:col>
      <xdr:colOff>93162</xdr:colOff>
      <xdr:row>76</xdr:row>
      <xdr:rowOff>99547</xdr:rowOff>
    </xdr:from>
    <xdr:to>
      <xdr:col>5</xdr:col>
      <xdr:colOff>245102</xdr:colOff>
      <xdr:row>78</xdr:row>
      <xdr:rowOff>34054</xdr:rowOff>
    </xdr:to>
    <xdr:sp macro="" textlink="">
      <xdr:nvSpPr>
        <xdr:cNvPr id="82" name="설명선: 아래쪽 화살표 81">
          <a:extLst>
            <a:ext uri="{FF2B5EF4-FFF2-40B4-BE49-F238E27FC236}">
              <a16:creationId xmlns:a16="http://schemas.microsoft.com/office/drawing/2014/main" id="{9DEEF44E-4EA3-7E28-C08A-D5DEAC670967}"/>
            </a:ext>
          </a:extLst>
        </xdr:cNvPr>
        <xdr:cNvSpPr/>
      </xdr:nvSpPr>
      <xdr:spPr>
        <a:xfrm>
          <a:off x="1973096" y="16873573"/>
          <a:ext cx="151940" cy="375665"/>
        </a:xfrm>
        <a:prstGeom prst="downArrowCallou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L</a:t>
          </a:r>
          <a:endParaRPr lang="ko-KR" altLang="en-US" sz="1100"/>
        </a:p>
      </xdr:txBody>
    </xdr:sp>
    <xdr:clientData/>
  </xdr:twoCellAnchor>
  <xdr:twoCellAnchor>
    <xdr:from>
      <xdr:col>5</xdr:col>
      <xdr:colOff>81932</xdr:colOff>
      <xdr:row>81</xdr:row>
      <xdr:rowOff>115790</xdr:rowOff>
    </xdr:from>
    <xdr:to>
      <xdr:col>5</xdr:col>
      <xdr:colOff>233872</xdr:colOff>
      <xdr:row>83</xdr:row>
      <xdr:rowOff>52202</xdr:rowOff>
    </xdr:to>
    <xdr:sp macro="" textlink="">
      <xdr:nvSpPr>
        <xdr:cNvPr id="83" name="설명선: 아래쪽 화살표 82">
          <a:extLst>
            <a:ext uri="{FF2B5EF4-FFF2-40B4-BE49-F238E27FC236}">
              <a16:creationId xmlns:a16="http://schemas.microsoft.com/office/drawing/2014/main" id="{9A2E9A20-E7CA-4A3B-2C11-E103DBDDD6C4}"/>
            </a:ext>
          </a:extLst>
        </xdr:cNvPr>
        <xdr:cNvSpPr/>
      </xdr:nvSpPr>
      <xdr:spPr>
        <a:xfrm>
          <a:off x="1961866" y="17992711"/>
          <a:ext cx="151940" cy="377570"/>
        </a:xfrm>
        <a:prstGeom prst="downArrowCallou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L</a:t>
          </a:r>
          <a:endParaRPr lang="ko-KR" altLang="en-US" sz="1100"/>
        </a:p>
      </xdr:txBody>
    </xdr:sp>
    <xdr:clientData/>
  </xdr:twoCellAnchor>
  <xdr:twoCellAnchor>
    <xdr:from>
      <xdr:col>6</xdr:col>
      <xdr:colOff>88849</xdr:colOff>
      <xdr:row>86</xdr:row>
      <xdr:rowOff>120803</xdr:rowOff>
    </xdr:from>
    <xdr:to>
      <xdr:col>6</xdr:col>
      <xdr:colOff>240789</xdr:colOff>
      <xdr:row>88</xdr:row>
      <xdr:rowOff>61025</xdr:rowOff>
    </xdr:to>
    <xdr:sp macro="" textlink="">
      <xdr:nvSpPr>
        <xdr:cNvPr id="84" name="설명선: 아래쪽 화살표 83">
          <a:extLst>
            <a:ext uri="{FF2B5EF4-FFF2-40B4-BE49-F238E27FC236}">
              <a16:creationId xmlns:a16="http://schemas.microsoft.com/office/drawing/2014/main" id="{3E123826-E672-80E1-3555-164C393F94CE}"/>
            </a:ext>
          </a:extLst>
        </xdr:cNvPr>
        <xdr:cNvSpPr/>
      </xdr:nvSpPr>
      <xdr:spPr>
        <a:xfrm>
          <a:off x="2309678" y="19100619"/>
          <a:ext cx="151940" cy="381380"/>
        </a:xfrm>
        <a:prstGeom prst="downArrowCallou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L</a:t>
          </a:r>
          <a:endParaRPr lang="ko-KR" altLang="en-US" sz="1100"/>
        </a:p>
      </xdr:txBody>
    </xdr:sp>
    <xdr:clientData/>
  </xdr:twoCellAnchor>
  <xdr:twoCellAnchor>
    <xdr:from>
      <xdr:col>6</xdr:col>
      <xdr:colOff>117725</xdr:colOff>
      <xdr:row>91</xdr:row>
      <xdr:rowOff>122707</xdr:rowOff>
    </xdr:from>
    <xdr:to>
      <xdr:col>6</xdr:col>
      <xdr:colOff>269665</xdr:colOff>
      <xdr:row>93</xdr:row>
      <xdr:rowOff>57215</xdr:rowOff>
    </xdr:to>
    <xdr:sp macro="" textlink="">
      <xdr:nvSpPr>
        <xdr:cNvPr id="85" name="설명선: 아래쪽 화살표 84">
          <a:extLst>
            <a:ext uri="{FF2B5EF4-FFF2-40B4-BE49-F238E27FC236}">
              <a16:creationId xmlns:a16="http://schemas.microsoft.com/office/drawing/2014/main" id="{1DA97436-B332-8D72-CDAE-2CA928833395}"/>
            </a:ext>
          </a:extLst>
        </xdr:cNvPr>
        <xdr:cNvSpPr/>
      </xdr:nvSpPr>
      <xdr:spPr>
        <a:xfrm>
          <a:off x="2338554" y="20205418"/>
          <a:ext cx="151940" cy="375665"/>
        </a:xfrm>
        <a:prstGeom prst="downArrowCallou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L</a:t>
          </a:r>
          <a:endParaRPr lang="ko-KR" altLang="en-US" sz="1100"/>
        </a:p>
      </xdr:txBody>
    </xdr:sp>
    <xdr:clientData/>
  </xdr:twoCellAnchor>
  <xdr:twoCellAnchor>
    <xdr:from>
      <xdr:col>6</xdr:col>
      <xdr:colOff>107698</xdr:colOff>
      <xdr:row>96</xdr:row>
      <xdr:rowOff>139652</xdr:rowOff>
    </xdr:from>
    <xdr:to>
      <xdr:col>6</xdr:col>
      <xdr:colOff>259638</xdr:colOff>
      <xdr:row>98</xdr:row>
      <xdr:rowOff>68444</xdr:rowOff>
    </xdr:to>
    <xdr:sp macro="" textlink="">
      <xdr:nvSpPr>
        <xdr:cNvPr id="86" name="설명선: 아래쪽 화살표 85">
          <a:extLst>
            <a:ext uri="{FF2B5EF4-FFF2-40B4-BE49-F238E27FC236}">
              <a16:creationId xmlns:a16="http://schemas.microsoft.com/office/drawing/2014/main" id="{88956F77-56C7-D1BA-2942-0ACE97905FFE}"/>
            </a:ext>
          </a:extLst>
        </xdr:cNvPr>
        <xdr:cNvSpPr/>
      </xdr:nvSpPr>
      <xdr:spPr>
        <a:xfrm>
          <a:off x="2328527" y="21325257"/>
          <a:ext cx="151940" cy="369950"/>
        </a:xfrm>
        <a:prstGeom prst="downArrowCallou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L</a:t>
          </a:r>
          <a:endParaRPr lang="ko-KR" altLang="en-US" sz="1100"/>
        </a:p>
      </xdr:txBody>
    </xdr:sp>
    <xdr:clientData/>
  </xdr:twoCellAnchor>
  <xdr:twoCellAnchor>
    <xdr:from>
      <xdr:col>7</xdr:col>
      <xdr:colOff>100780</xdr:colOff>
      <xdr:row>101</xdr:row>
      <xdr:rowOff>95736</xdr:rowOff>
    </xdr:from>
    <xdr:to>
      <xdr:col>7</xdr:col>
      <xdr:colOff>252720</xdr:colOff>
      <xdr:row>103</xdr:row>
      <xdr:rowOff>26433</xdr:rowOff>
    </xdr:to>
    <xdr:sp macro="" textlink="">
      <xdr:nvSpPr>
        <xdr:cNvPr id="87" name="설명선: 아래쪽 화살표 86">
          <a:extLst>
            <a:ext uri="{FF2B5EF4-FFF2-40B4-BE49-F238E27FC236}">
              <a16:creationId xmlns:a16="http://schemas.microsoft.com/office/drawing/2014/main" id="{7F58D318-3067-03FA-060C-EACFD97F3F66}"/>
            </a:ext>
          </a:extLst>
        </xdr:cNvPr>
        <xdr:cNvSpPr/>
      </xdr:nvSpPr>
      <xdr:spPr>
        <a:xfrm>
          <a:off x="2662504" y="22384236"/>
          <a:ext cx="151940" cy="371855"/>
        </a:xfrm>
        <a:prstGeom prst="downArrowCallou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L</a:t>
          </a:r>
          <a:endParaRPr lang="ko-KR" altLang="en-US" sz="1100"/>
        </a:p>
      </xdr:txBody>
    </xdr:sp>
    <xdr:clientData/>
  </xdr:twoCellAnchor>
  <xdr:twoCellAnchor>
    <xdr:from>
      <xdr:col>7</xdr:col>
      <xdr:colOff>91957</xdr:colOff>
      <xdr:row>106</xdr:row>
      <xdr:rowOff>106966</xdr:rowOff>
    </xdr:from>
    <xdr:to>
      <xdr:col>7</xdr:col>
      <xdr:colOff>243897</xdr:colOff>
      <xdr:row>108</xdr:row>
      <xdr:rowOff>37663</xdr:rowOff>
    </xdr:to>
    <xdr:sp macro="" textlink="">
      <xdr:nvSpPr>
        <xdr:cNvPr id="88" name="설명선: 아래쪽 화살표 87">
          <a:extLst>
            <a:ext uri="{FF2B5EF4-FFF2-40B4-BE49-F238E27FC236}">
              <a16:creationId xmlns:a16="http://schemas.microsoft.com/office/drawing/2014/main" id="{D3D47338-9E2C-E32E-3475-140F905632BA}"/>
            </a:ext>
          </a:extLst>
        </xdr:cNvPr>
        <xdr:cNvSpPr/>
      </xdr:nvSpPr>
      <xdr:spPr>
        <a:xfrm>
          <a:off x="2653681" y="23498361"/>
          <a:ext cx="151940" cy="371855"/>
        </a:xfrm>
        <a:prstGeom prst="downArrowCallou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L</a:t>
          </a:r>
          <a:endParaRPr lang="ko-KR" altLang="en-US" sz="1100"/>
        </a:p>
      </xdr:txBody>
    </xdr:sp>
    <xdr:clientData/>
  </xdr:twoCellAnchor>
  <xdr:twoCellAnchor>
    <xdr:from>
      <xdr:col>8</xdr:col>
      <xdr:colOff>125847</xdr:colOff>
      <xdr:row>111</xdr:row>
      <xdr:rowOff>110075</xdr:rowOff>
    </xdr:from>
    <xdr:to>
      <xdr:col>8</xdr:col>
      <xdr:colOff>277787</xdr:colOff>
      <xdr:row>113</xdr:row>
      <xdr:rowOff>42677</xdr:rowOff>
    </xdr:to>
    <xdr:sp macro="" textlink="">
      <xdr:nvSpPr>
        <xdr:cNvPr id="89" name="설명선: 아래쪽 화살표 88">
          <a:extLst>
            <a:ext uri="{FF2B5EF4-FFF2-40B4-BE49-F238E27FC236}">
              <a16:creationId xmlns:a16="http://schemas.microsoft.com/office/drawing/2014/main" id="{FF4FE2C5-8445-BB4B-A792-CAD63CCF0118}"/>
            </a:ext>
          </a:extLst>
        </xdr:cNvPr>
        <xdr:cNvSpPr/>
      </xdr:nvSpPr>
      <xdr:spPr>
        <a:xfrm>
          <a:off x="3028465" y="24604364"/>
          <a:ext cx="151940" cy="373760"/>
        </a:xfrm>
        <a:prstGeom prst="downArrowCallou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L</a:t>
          </a:r>
          <a:endParaRPr lang="ko-KR" altLang="en-US" sz="1100"/>
        </a:p>
      </xdr:txBody>
    </xdr:sp>
    <xdr:clientData/>
  </xdr:twoCellAnchor>
  <xdr:twoCellAnchor>
    <xdr:from>
      <xdr:col>8</xdr:col>
      <xdr:colOff>129657</xdr:colOff>
      <xdr:row>116</xdr:row>
      <xdr:rowOff>108170</xdr:rowOff>
    </xdr:from>
    <xdr:to>
      <xdr:col>8</xdr:col>
      <xdr:colOff>279692</xdr:colOff>
      <xdr:row>118</xdr:row>
      <xdr:rowOff>44582</xdr:rowOff>
    </xdr:to>
    <xdr:sp macro="" textlink="">
      <xdr:nvSpPr>
        <xdr:cNvPr id="90" name="설명선: 아래쪽 화살표 89">
          <a:extLst>
            <a:ext uri="{FF2B5EF4-FFF2-40B4-BE49-F238E27FC236}">
              <a16:creationId xmlns:a16="http://schemas.microsoft.com/office/drawing/2014/main" id="{006389DB-00F9-5789-9F38-AF75221ED0C4}"/>
            </a:ext>
          </a:extLst>
        </xdr:cNvPr>
        <xdr:cNvSpPr/>
      </xdr:nvSpPr>
      <xdr:spPr>
        <a:xfrm>
          <a:off x="3032275" y="25705354"/>
          <a:ext cx="150035" cy="377570"/>
        </a:xfrm>
        <a:prstGeom prst="downArrowCallou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L</a:t>
          </a:r>
          <a:endParaRPr lang="ko-KR" altLang="en-US" sz="1100"/>
        </a:p>
      </xdr:txBody>
    </xdr:sp>
    <xdr:clientData/>
  </xdr:twoCellAnchor>
  <xdr:twoCellAnchor>
    <xdr:from>
      <xdr:col>9</xdr:col>
      <xdr:colOff>128453</xdr:colOff>
      <xdr:row>121</xdr:row>
      <xdr:rowOff>101252</xdr:rowOff>
    </xdr:from>
    <xdr:to>
      <xdr:col>9</xdr:col>
      <xdr:colOff>278488</xdr:colOff>
      <xdr:row>123</xdr:row>
      <xdr:rowOff>41474</xdr:rowOff>
    </xdr:to>
    <xdr:sp macro="" textlink="">
      <xdr:nvSpPr>
        <xdr:cNvPr id="91" name="설명선: 아래쪽 화살표 90">
          <a:extLst>
            <a:ext uri="{FF2B5EF4-FFF2-40B4-BE49-F238E27FC236}">
              <a16:creationId xmlns:a16="http://schemas.microsoft.com/office/drawing/2014/main" id="{85F76C62-9573-15BB-A672-1B9F774F7908}"/>
            </a:ext>
          </a:extLst>
        </xdr:cNvPr>
        <xdr:cNvSpPr/>
      </xdr:nvSpPr>
      <xdr:spPr>
        <a:xfrm>
          <a:off x="3371966" y="26801331"/>
          <a:ext cx="150035" cy="381380"/>
        </a:xfrm>
        <a:prstGeom prst="downArrowCallou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L</a:t>
          </a:r>
          <a:endParaRPr lang="ko-KR" altLang="en-US" sz="1100"/>
        </a:p>
      </xdr:txBody>
    </xdr:sp>
    <xdr:clientData/>
  </xdr:twoCellAnchor>
  <xdr:twoCellAnchor>
    <xdr:from>
      <xdr:col>10</xdr:col>
      <xdr:colOff>97171</xdr:colOff>
      <xdr:row>126</xdr:row>
      <xdr:rowOff>121305</xdr:rowOff>
    </xdr:from>
    <xdr:to>
      <xdr:col>10</xdr:col>
      <xdr:colOff>247206</xdr:colOff>
      <xdr:row>128</xdr:row>
      <xdr:rowOff>55812</xdr:rowOff>
    </xdr:to>
    <xdr:sp macro="" textlink="">
      <xdr:nvSpPr>
        <xdr:cNvPr id="92" name="설명선: 아래쪽 화살표 91">
          <a:extLst>
            <a:ext uri="{FF2B5EF4-FFF2-40B4-BE49-F238E27FC236}">
              <a16:creationId xmlns:a16="http://schemas.microsoft.com/office/drawing/2014/main" id="{6A552456-26B9-497B-A55B-1B6FA6530D0E}"/>
            </a:ext>
          </a:extLst>
        </xdr:cNvPr>
        <xdr:cNvSpPr/>
      </xdr:nvSpPr>
      <xdr:spPr>
        <a:xfrm>
          <a:off x="3681579" y="27924279"/>
          <a:ext cx="150035" cy="375665"/>
        </a:xfrm>
        <a:prstGeom prst="downArrowCallou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L</a:t>
          </a:r>
          <a:endParaRPr lang="ko-KR" altLang="en-US" sz="1100"/>
        </a:p>
      </xdr:txBody>
    </xdr:sp>
    <xdr:clientData/>
  </xdr:twoCellAnchor>
  <xdr:twoCellAnchor>
    <xdr:from>
      <xdr:col>11</xdr:col>
      <xdr:colOff>3123</xdr:colOff>
      <xdr:row>131</xdr:row>
      <xdr:rowOff>153290</xdr:rowOff>
    </xdr:from>
    <xdr:to>
      <xdr:col>11</xdr:col>
      <xdr:colOff>160778</xdr:colOff>
      <xdr:row>133</xdr:row>
      <xdr:rowOff>89702</xdr:rowOff>
    </xdr:to>
    <xdr:sp macro="" textlink="">
      <xdr:nvSpPr>
        <xdr:cNvPr id="93" name="설명선: 아래쪽 화살표 92">
          <a:extLst>
            <a:ext uri="{FF2B5EF4-FFF2-40B4-BE49-F238E27FC236}">
              <a16:creationId xmlns:a16="http://schemas.microsoft.com/office/drawing/2014/main" id="{4C478083-5BC0-EFFE-7039-5DDA37D46EA0}"/>
            </a:ext>
          </a:extLst>
        </xdr:cNvPr>
        <xdr:cNvSpPr/>
      </xdr:nvSpPr>
      <xdr:spPr>
        <a:xfrm>
          <a:off x="3928426" y="29059158"/>
          <a:ext cx="157655" cy="377570"/>
        </a:xfrm>
        <a:prstGeom prst="downArrowCallou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L</a:t>
          </a:r>
          <a:endParaRPr lang="ko-KR" altLang="en-US" sz="1100"/>
        </a:p>
      </xdr:txBody>
    </xdr:sp>
    <xdr:clientData/>
  </xdr:twoCellAnchor>
  <xdr:twoCellAnchor>
    <xdr:from>
      <xdr:col>11</xdr:col>
      <xdr:colOff>18163</xdr:colOff>
      <xdr:row>136</xdr:row>
      <xdr:rowOff>138250</xdr:rowOff>
    </xdr:from>
    <xdr:to>
      <xdr:col>11</xdr:col>
      <xdr:colOff>177723</xdr:colOff>
      <xdr:row>138</xdr:row>
      <xdr:rowOff>78472</xdr:rowOff>
    </xdr:to>
    <xdr:sp macro="" textlink="">
      <xdr:nvSpPr>
        <xdr:cNvPr id="94" name="설명선: 아래쪽 화살표 93">
          <a:extLst>
            <a:ext uri="{FF2B5EF4-FFF2-40B4-BE49-F238E27FC236}">
              <a16:creationId xmlns:a16="http://schemas.microsoft.com/office/drawing/2014/main" id="{184F17F6-92A8-48BC-D5EA-A21E1BA8CB37}"/>
            </a:ext>
          </a:extLst>
        </xdr:cNvPr>
        <xdr:cNvSpPr/>
      </xdr:nvSpPr>
      <xdr:spPr>
        <a:xfrm>
          <a:off x="3943466" y="30147013"/>
          <a:ext cx="159560" cy="381380"/>
        </a:xfrm>
        <a:prstGeom prst="downArrowCallou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L</a:t>
          </a:r>
          <a:endParaRPr lang="ko-KR" altLang="en-US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8</xdr:row>
      <xdr:rowOff>123825</xdr:rowOff>
    </xdr:from>
    <xdr:to>
      <xdr:col>7</xdr:col>
      <xdr:colOff>350959</xdr:colOff>
      <xdr:row>17</xdr:row>
      <xdr:rowOff>13921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2D02D1F-763D-4EBF-9513-C06C841D7A30}"/>
            </a:ext>
          </a:extLst>
        </xdr:cNvPr>
        <xdr:cNvSpPr txBox="1"/>
      </xdr:nvSpPr>
      <xdr:spPr>
        <a:xfrm>
          <a:off x="495300" y="1899285"/>
          <a:ext cx="4389559" cy="187891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[</a:t>
          </a:r>
          <a:r>
            <a:rPr lang="ko-KR" altLang="en-US" sz="1100"/>
            <a:t>첨부 파일 참조</a:t>
          </a:r>
          <a:r>
            <a:rPr lang="en-US" altLang="ko-KR" sz="1100"/>
            <a:t>]</a:t>
          </a:r>
        </a:p>
        <a:p>
          <a:endParaRPr lang="en-US" altLang="ko-KR" sz="1100"/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[HeapSort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특징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]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1. O(Nlog(N))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정렬이다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추가배열이 필요없다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3. unstable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정렬이다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4.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비교횟수가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mergetSort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등에 비해 많다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/>
        </a:p>
      </xdr:txBody>
    </xdr:sp>
    <xdr:clientData/>
  </xdr:twoCellAnchor>
  <xdr:twoCellAnchor>
    <xdr:from>
      <xdr:col>9</xdr:col>
      <xdr:colOff>90121</xdr:colOff>
      <xdr:row>8</xdr:row>
      <xdr:rowOff>133350</xdr:rowOff>
    </xdr:from>
    <xdr:to>
      <xdr:col>15</xdr:col>
      <xdr:colOff>460131</xdr:colOff>
      <xdr:row>17</xdr:row>
      <xdr:rowOff>23446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5362FA6-8386-4672-BF38-770938F12DD0}"/>
            </a:ext>
          </a:extLst>
        </xdr:cNvPr>
        <xdr:cNvSpPr txBox="1"/>
      </xdr:nvSpPr>
      <xdr:spPr>
        <a:xfrm>
          <a:off x="5965141" y="1908810"/>
          <a:ext cx="4393370" cy="187891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[In</a:t>
          </a:r>
          <a:r>
            <a:rPr lang="en-US" altLang="ko-KR" sz="1100" baseline="0"/>
            <a:t> place Sort : 제자리 정렬]</a:t>
          </a:r>
        </a:p>
        <a:p>
          <a:r>
            <a:rPr lang="en-US" altLang="ko-KR" sz="1100" baseline="0"/>
            <a:t>Selecetion Sort, Bubble Sort, Insertion Sort, Quick Sort, Heap Sort</a:t>
          </a:r>
        </a:p>
        <a:p>
          <a:endParaRPr lang="en-US" altLang="ko-KR" sz="1100" baseline="0"/>
        </a:p>
        <a:p>
          <a:r>
            <a:rPr lang="en-US" altLang="ko-KR" sz="1100" baseline="0"/>
            <a:t>[Out of Place Sort : 추가 메모리 필요한 정렬]</a:t>
          </a:r>
        </a:p>
        <a:p>
          <a:r>
            <a:rPr lang="en-US" altLang="ko-KR" sz="1100" baseline="0"/>
            <a:t>: 정렬된 결과를 별도의 공간에 저장한다.</a:t>
          </a:r>
        </a:p>
        <a:p>
          <a:r>
            <a:rPr lang="en-US" altLang="ko-KR" sz="1100" baseline="0"/>
            <a:t>Merge Sort, Counting Sort, Radix Sort</a:t>
          </a:r>
          <a:endParaRPr lang="en-US" altLang="ko-KR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9</xdr:row>
      <xdr:rowOff>161925</xdr:rowOff>
    </xdr:from>
    <xdr:to>
      <xdr:col>10</xdr:col>
      <xdr:colOff>561243</xdr:colOff>
      <xdr:row>11</xdr:row>
      <xdr:rowOff>194017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8F3F44C4-1633-4640-B666-690028BC1C7D}"/>
            </a:ext>
          </a:extLst>
        </xdr:cNvPr>
        <xdr:cNvSpPr/>
      </xdr:nvSpPr>
      <xdr:spPr>
        <a:xfrm>
          <a:off x="1295400" y="2143125"/>
          <a:ext cx="5780943" cy="470242"/>
        </a:xfrm>
        <a:prstGeom prst="round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800"/>
            <a:t>관련 기출문제 </a:t>
          </a:r>
          <a:r>
            <a:rPr lang="en-US" altLang="ko-KR" sz="1800"/>
            <a:t>: EX  Fast</a:t>
          </a:r>
          <a:r>
            <a:rPr lang="en-US" altLang="ko-KR" sz="1800" baseline="0"/>
            <a:t> Sort</a:t>
          </a:r>
          <a:endParaRPr lang="ko-KR" altLang="en-US" sz="18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6089</xdr:colOff>
      <xdr:row>10</xdr:row>
      <xdr:rowOff>83131</xdr:rowOff>
    </xdr:from>
    <xdr:to>
      <xdr:col>29</xdr:col>
      <xdr:colOff>158797</xdr:colOff>
      <xdr:row>19</xdr:row>
      <xdr:rowOff>108196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DA9D50D-099A-4673-8CF1-20577A80A600}"/>
            </a:ext>
          </a:extLst>
        </xdr:cNvPr>
        <xdr:cNvSpPr txBox="1"/>
      </xdr:nvSpPr>
      <xdr:spPr>
        <a:xfrm>
          <a:off x="5340089" y="2300551"/>
          <a:ext cx="5501948" cy="20138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* 1 ~ N</a:t>
          </a:r>
          <a:r>
            <a:rPr lang="ko-KR" altLang="en-US" sz="1100"/>
            <a:t>의 수가 </a:t>
          </a:r>
          <a:r>
            <a:rPr lang="en-US" altLang="ko-KR" sz="1100"/>
            <a:t>0~N-1</a:t>
          </a:r>
          <a:r>
            <a:rPr lang="ko-KR" altLang="en-US" sz="1100"/>
            <a:t>에 저장되어 있다</a:t>
          </a:r>
          <a:r>
            <a:rPr lang="en-US" altLang="ko-KR" sz="1100"/>
            <a:t>.</a:t>
          </a:r>
        </a:p>
        <a:p>
          <a:r>
            <a:rPr lang="en-US" altLang="ko-KR" sz="1100"/>
            <a:t>* </a:t>
          </a:r>
          <a:r>
            <a:rPr lang="ko-KR" altLang="en-US" sz="1100"/>
            <a:t>인덱스를 통하여 </a:t>
          </a:r>
          <a:r>
            <a:rPr lang="en-US" altLang="ko-KR" sz="1100"/>
            <a:t>ori[left_idx],</a:t>
          </a:r>
          <a:r>
            <a:rPr lang="en-US" altLang="ko-KR" sz="1100" baseline="0"/>
            <a:t> ori[right_idx]</a:t>
          </a:r>
          <a:r>
            <a:rPr lang="ko-KR" altLang="en-US" sz="1100"/>
            <a:t>의 값을 비교한 결과를 알수 있으므로</a:t>
          </a:r>
          <a:br>
            <a:rPr lang="en-US" altLang="ko-KR" sz="1100"/>
          </a:br>
          <a:r>
            <a:rPr lang="en-US" altLang="ko-KR" sz="1100"/>
            <a:t>    </a:t>
          </a:r>
          <a:r>
            <a:rPr lang="ko-KR" altLang="en-US" sz="1100"/>
            <a:t>인덱스를 정렬하는</a:t>
          </a:r>
          <a:r>
            <a:rPr lang="ko-KR" altLang="en-US" sz="1100" baseline="0"/>
            <a:t> 전략을 사용할 수 있다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* </a:t>
          </a:r>
          <a:r>
            <a:rPr lang="ko-KR" altLang="en-US" sz="1100" baseline="0"/>
            <a:t>인덱스가 담긴 배열 </a:t>
          </a:r>
          <a:r>
            <a:rPr lang="en-US" altLang="ko-KR" sz="1100" baseline="0"/>
            <a:t>A[]</a:t>
          </a:r>
          <a:r>
            <a:rPr lang="ko-KR" altLang="en-US" sz="1100" baseline="0"/>
            <a:t>를 </a:t>
          </a:r>
          <a:r>
            <a:rPr lang="en-US" altLang="ko-KR" sz="1100" baseline="0"/>
            <a:t>oderCheck(left, right)</a:t>
          </a:r>
          <a:r>
            <a:rPr lang="ko-KR" altLang="en-US" sz="1100" baseline="0"/>
            <a:t>를 이용하여 정렬한후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    dat[A[i]] = i + 1; </a:t>
          </a:r>
          <a:r>
            <a:rPr lang="ko-KR" altLang="en-US" sz="1100" baseline="0"/>
            <a:t>로 </a:t>
          </a:r>
          <a:r>
            <a:rPr lang="en-US" altLang="ko-KR" sz="1100" baseline="0"/>
            <a:t>ori[]</a:t>
          </a:r>
          <a:r>
            <a:rPr lang="ko-KR" altLang="en-US" sz="1100" baseline="0"/>
            <a:t>를 구할 수 있다</a:t>
          </a:r>
          <a:r>
            <a:rPr lang="en-US" altLang="ko-KR" sz="1100" baseline="0"/>
            <a:t>.</a:t>
          </a:r>
          <a:endParaRPr lang="ko-KR" altLang="en-US" sz="1100"/>
        </a:p>
      </xdr:txBody>
    </xdr:sp>
    <xdr:clientData/>
  </xdr:twoCellAnchor>
  <xdr:twoCellAnchor>
    <xdr:from>
      <xdr:col>8</xdr:col>
      <xdr:colOff>53578</xdr:colOff>
      <xdr:row>3</xdr:row>
      <xdr:rowOff>89297</xdr:rowOff>
    </xdr:from>
    <xdr:to>
      <xdr:col>8</xdr:col>
      <xdr:colOff>303609</xdr:colOff>
      <xdr:row>9</xdr:row>
      <xdr:rowOff>113109</xdr:rowOff>
    </xdr:to>
    <xdr:sp macro="" textlink="">
      <xdr:nvSpPr>
        <xdr:cNvPr id="3" name="화살표: 왼쪽으로 구부러짐 2">
          <a:extLst>
            <a:ext uri="{FF2B5EF4-FFF2-40B4-BE49-F238E27FC236}">
              <a16:creationId xmlns:a16="http://schemas.microsoft.com/office/drawing/2014/main" id="{04DFCDEC-CAEC-48A0-A00E-A2772CD3A4A0}"/>
            </a:ext>
          </a:extLst>
        </xdr:cNvPr>
        <xdr:cNvSpPr/>
      </xdr:nvSpPr>
      <xdr:spPr>
        <a:xfrm>
          <a:off x="4160758" y="759857"/>
          <a:ext cx="250031" cy="1349692"/>
        </a:xfrm>
        <a:prstGeom prst="curved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181371</xdr:colOff>
      <xdr:row>2</xdr:row>
      <xdr:rowOff>56355</xdr:rowOff>
    </xdr:from>
    <xdr:to>
      <xdr:col>9</xdr:col>
      <xdr:colOff>294878</xdr:colOff>
      <xdr:row>11</xdr:row>
      <xdr:rowOff>29766</xdr:rowOff>
    </xdr:to>
    <xdr:sp macro="" textlink="">
      <xdr:nvSpPr>
        <xdr:cNvPr id="4" name="화살표: 왼쪽으로 구부러짐 3">
          <a:extLst>
            <a:ext uri="{FF2B5EF4-FFF2-40B4-BE49-F238E27FC236}">
              <a16:creationId xmlns:a16="http://schemas.microsoft.com/office/drawing/2014/main" id="{F05B1926-8F40-47A0-9278-9386DBEDAC57}"/>
            </a:ext>
          </a:extLst>
        </xdr:cNvPr>
        <xdr:cNvSpPr/>
      </xdr:nvSpPr>
      <xdr:spPr>
        <a:xfrm>
          <a:off x="4288551" y="505935"/>
          <a:ext cx="578327" cy="1962231"/>
        </a:xfrm>
        <a:prstGeom prst="curvedLeftArrow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314325</xdr:colOff>
      <xdr:row>1</xdr:row>
      <xdr:rowOff>73401</xdr:rowOff>
    </xdr:from>
    <xdr:to>
      <xdr:col>26</xdr:col>
      <xdr:colOff>180473</xdr:colOff>
      <xdr:row>10</xdr:row>
      <xdr:rowOff>10026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9F2A33A-F4B5-4A03-804E-A39F3108DBF4}"/>
            </a:ext>
          </a:extLst>
        </xdr:cNvPr>
        <xdr:cNvSpPr txBox="1"/>
      </xdr:nvSpPr>
      <xdr:spPr>
        <a:xfrm>
          <a:off x="5335905" y="302001"/>
          <a:ext cx="4636268" cy="19254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* </a:t>
          </a:r>
          <a:r>
            <a:rPr lang="ko-KR" altLang="en-US" sz="1100"/>
            <a:t>학생번호 </a:t>
          </a:r>
          <a:r>
            <a:rPr lang="en-US" altLang="ko-KR" sz="1100"/>
            <a:t>0~N-1</a:t>
          </a:r>
          <a:r>
            <a:rPr lang="ko-KR" altLang="en-US" sz="1100"/>
            <a:t>까지 빠짐없이 중복없이 존재한다</a:t>
          </a:r>
          <a:r>
            <a:rPr lang="en-US" altLang="ko-KR" sz="1100"/>
            <a:t>.</a:t>
          </a:r>
        </a:p>
        <a:p>
          <a:r>
            <a:rPr lang="en-US" altLang="ko-KR" sz="1100"/>
            <a:t>* </a:t>
          </a:r>
          <a:r>
            <a:rPr lang="ko-KR" altLang="en-US" sz="1100"/>
            <a:t>카드번호 </a:t>
          </a:r>
          <a:r>
            <a:rPr lang="en-US" altLang="ko-KR" sz="1100"/>
            <a:t>1~N</a:t>
          </a:r>
          <a:r>
            <a:rPr lang="ko-KR" altLang="en-US" sz="1100"/>
            <a:t>까지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빠짐없이 중복없이 존재한다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학생번호와 카드번호가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1:1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대응하므로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학생번호를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학생이 가진 카드번호의 오름차순을 기준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으로 정렬할 수 있다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정렬된 학생번호를 이용하여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origin[]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배열을 복원할 수 있다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정렬은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O(N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*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logN)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이상의 효율을 갖는 알고리즘이 필요하다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mergeSort()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이용할 수 있다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/>
        </a:p>
      </xdr:txBody>
    </xdr:sp>
    <xdr:clientData/>
  </xdr:twoCellAnchor>
  <xdr:twoCellAnchor>
    <xdr:from>
      <xdr:col>2</xdr:col>
      <xdr:colOff>1534050</xdr:colOff>
      <xdr:row>2</xdr:row>
      <xdr:rowOff>194366</xdr:rowOff>
    </xdr:from>
    <xdr:to>
      <xdr:col>8</xdr:col>
      <xdr:colOff>142306</xdr:colOff>
      <xdr:row>4</xdr:row>
      <xdr:rowOff>44393</xdr:rowOff>
    </xdr:to>
    <xdr:sp macro="" textlink="">
      <xdr:nvSpPr>
        <xdr:cNvPr id="6" name="모서리가 둥근 직사각형 5">
          <a:extLst>
            <a:ext uri="{FF2B5EF4-FFF2-40B4-BE49-F238E27FC236}">
              <a16:creationId xmlns:a16="http://schemas.microsoft.com/office/drawing/2014/main" id="{22165718-CCFA-4C27-B94E-912DEF1F4D24}"/>
            </a:ext>
          </a:extLst>
        </xdr:cNvPr>
        <xdr:cNvSpPr/>
      </xdr:nvSpPr>
      <xdr:spPr>
        <a:xfrm>
          <a:off x="2473412" y="641056"/>
          <a:ext cx="1787635" cy="28357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180975</xdr:colOff>
      <xdr:row>2</xdr:row>
      <xdr:rowOff>9525</xdr:rowOff>
    </xdr:from>
    <xdr:to>
      <xdr:col>45</xdr:col>
      <xdr:colOff>73025</xdr:colOff>
      <xdr:row>10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EEAE301-DB73-48F4-BEDD-1845410CCA97}"/>
            </a:ext>
          </a:extLst>
        </xdr:cNvPr>
        <xdr:cNvSpPr txBox="1"/>
      </xdr:nvSpPr>
      <xdr:spPr>
        <a:xfrm>
          <a:off x="11458575" y="459105"/>
          <a:ext cx="4052570" cy="17583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[</a:t>
          </a:r>
          <a:r>
            <a:rPr lang="ko-KR" altLang="en-US" sz="1100"/>
            <a:t>첨부 파일 참조</a:t>
          </a:r>
          <a:r>
            <a:rPr lang="en-US" altLang="ko-KR" sz="1100"/>
            <a:t>]</a:t>
          </a:r>
        </a:p>
        <a:p>
          <a:endParaRPr lang="en-US" altLang="ko-KR" sz="1100"/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[MergeSort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특징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]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1. O(Nlog(N))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정렬이다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추가배열이 필요하다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3. stable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정렬이다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4.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비교횟수가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HeapSort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에 비해 적다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/>
        </a:p>
      </xdr:txBody>
    </xdr:sp>
    <xdr:clientData/>
  </xdr:twoCellAnchor>
  <xdr:twoCellAnchor>
    <xdr:from>
      <xdr:col>2</xdr:col>
      <xdr:colOff>0</xdr:colOff>
      <xdr:row>30</xdr:row>
      <xdr:rowOff>0</xdr:rowOff>
    </xdr:from>
    <xdr:to>
      <xdr:col>15</xdr:col>
      <xdr:colOff>178338</xdr:colOff>
      <xdr:row>32</xdr:row>
      <xdr:rowOff>30187</xdr:rowOff>
    </xdr:to>
    <xdr:sp macro="" textlink="">
      <xdr:nvSpPr>
        <xdr:cNvPr id="8" name="사각형: 둥근 모서리 7">
          <a:extLst>
            <a:ext uri="{FF2B5EF4-FFF2-40B4-BE49-F238E27FC236}">
              <a16:creationId xmlns:a16="http://schemas.microsoft.com/office/drawing/2014/main" id="{7C51EA9C-D4B0-41F7-A35B-2E320D2F7C55}"/>
            </a:ext>
          </a:extLst>
        </xdr:cNvPr>
        <xdr:cNvSpPr/>
      </xdr:nvSpPr>
      <xdr:spPr>
        <a:xfrm>
          <a:off x="942975" y="6581775"/>
          <a:ext cx="5779038" cy="468337"/>
        </a:xfrm>
        <a:prstGeom prst="round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800"/>
            <a:t>관련 기출문제 </a:t>
          </a:r>
          <a:r>
            <a:rPr lang="en-US" altLang="ko-KR" sz="1800"/>
            <a:t>: EX  Fast</a:t>
          </a:r>
          <a:r>
            <a:rPr lang="en-US" altLang="ko-KR" sz="1800" baseline="0"/>
            <a:t> Sort</a:t>
          </a:r>
          <a:endParaRPr lang="ko-KR" altLang="en-US" sz="18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1</xdr:row>
      <xdr:rowOff>66675</xdr:rowOff>
    </xdr:from>
    <xdr:to>
      <xdr:col>38</xdr:col>
      <xdr:colOff>161925</xdr:colOff>
      <xdr:row>3</xdr:row>
      <xdr:rowOff>95250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2E8BC41-1092-43BD-BDC1-97C6A194BCD1}"/>
            </a:ext>
          </a:extLst>
        </xdr:cNvPr>
        <xdr:cNvSpPr/>
      </xdr:nvSpPr>
      <xdr:spPr>
        <a:xfrm>
          <a:off x="872490" y="295275"/>
          <a:ext cx="9667875" cy="4705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/>
            <a:t>1 ~ 5</a:t>
          </a:r>
          <a:r>
            <a:rPr lang="ko-KR" altLang="en-US" sz="1600"/>
            <a:t>개의 판자를 사용하는 경우 최적해를 그림으로 나타내 보면 아래와 같다</a:t>
          </a:r>
          <a:r>
            <a:rPr lang="en-US" altLang="ko-KR" sz="1600"/>
            <a:t>.</a:t>
          </a:r>
          <a:r>
            <a:rPr lang="ko-KR" altLang="en-US" sz="1600"/>
            <a:t> </a:t>
          </a:r>
        </a:p>
      </xdr:txBody>
    </xdr:sp>
    <xdr:clientData/>
  </xdr:twoCellAnchor>
  <xdr:twoCellAnchor>
    <xdr:from>
      <xdr:col>3</xdr:col>
      <xdr:colOff>238124</xdr:colOff>
      <xdr:row>18</xdr:row>
      <xdr:rowOff>9525</xdr:rowOff>
    </xdr:from>
    <xdr:to>
      <xdr:col>36</xdr:col>
      <xdr:colOff>85725</xdr:colOff>
      <xdr:row>31</xdr:row>
      <xdr:rowOff>28575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2F3B62A-F40C-4BD6-9ECD-161EBD13D6C1}"/>
            </a:ext>
          </a:extLst>
        </xdr:cNvPr>
        <xdr:cNvSpPr txBox="1"/>
      </xdr:nvSpPr>
      <xdr:spPr>
        <a:xfrm>
          <a:off x="1282064" y="3994785"/>
          <a:ext cx="8648701" cy="28917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/>
            <a:t>[</a:t>
          </a:r>
          <a:r>
            <a:rPr lang="ko-KR" altLang="en-US" sz="1100" b="1"/>
            <a:t>문제 분석</a:t>
          </a:r>
          <a:r>
            <a:rPr lang="en-US" altLang="ko-KR" sz="1100" b="1"/>
            <a:t>]</a:t>
          </a:r>
        </a:p>
        <a:p>
          <a:r>
            <a:rPr lang="en-US" altLang="ko-KR" sz="1100"/>
            <a:t>1</a:t>
          </a:r>
          <a:r>
            <a:rPr lang="ko-KR" altLang="en-US" sz="1100"/>
            <a:t>개의 판자를 사용하는 경우라면 판자의 길이는 </a:t>
          </a:r>
          <a:r>
            <a:rPr lang="en-US" altLang="ko-KR" sz="1100"/>
            <a:t>("</a:t>
          </a:r>
          <a:r>
            <a:rPr lang="ko-KR" altLang="en-US" sz="1100"/>
            <a:t>소가 있는 최대 위치</a:t>
          </a:r>
          <a:r>
            <a:rPr lang="en-US" altLang="ko-KR" sz="1100"/>
            <a:t>"</a:t>
          </a:r>
          <a:r>
            <a:rPr lang="ko-KR" altLang="en-US" sz="1100"/>
            <a:t> </a:t>
          </a:r>
          <a:r>
            <a:rPr lang="en-US" altLang="ko-KR" sz="1100"/>
            <a:t>- "</a:t>
          </a:r>
          <a:r>
            <a:rPr lang="ko-KR" altLang="en-US" sz="1100"/>
            <a:t>소가 있는 최소 위치</a:t>
          </a:r>
          <a:r>
            <a:rPr lang="en-US" altLang="ko-KR" sz="1100"/>
            <a:t>" + 1) </a:t>
          </a:r>
          <a:r>
            <a:rPr lang="ko-KR" altLang="en-US" sz="1100"/>
            <a:t>이다</a:t>
          </a:r>
          <a:r>
            <a:rPr lang="en-US" altLang="ko-KR" sz="1100"/>
            <a:t>.</a:t>
          </a:r>
        </a:p>
        <a:p>
          <a:r>
            <a:rPr lang="en-US" altLang="ko-KR" sz="1100"/>
            <a:t>2</a:t>
          </a:r>
          <a:r>
            <a:rPr lang="ko-KR" altLang="en-US" sz="1100"/>
            <a:t>개의 판자를 사용하는 경우라면 판자의 길이는 </a:t>
          </a:r>
          <a:r>
            <a:rPr lang="en-US" altLang="ko-KR" sz="1100"/>
            <a:t>("1</a:t>
          </a:r>
          <a:r>
            <a:rPr lang="ko-KR" altLang="en-US" sz="1100"/>
            <a:t>개의 판자를 사용하는 경우 판자의 길이</a:t>
          </a:r>
          <a:r>
            <a:rPr lang="en-US" altLang="ko-KR" sz="1100"/>
            <a:t>"</a:t>
          </a:r>
          <a:r>
            <a:rPr lang="ko-KR" altLang="en-US" sz="1100"/>
            <a:t> </a:t>
          </a:r>
          <a:r>
            <a:rPr lang="en-US" altLang="ko-KR" sz="1100"/>
            <a:t>- "1st</a:t>
          </a:r>
          <a:r>
            <a:rPr lang="ko-KR" altLang="en-US" sz="1100"/>
            <a:t>로 긴 연속한 빈 공간의 크기</a:t>
          </a:r>
          <a:r>
            <a:rPr lang="en-US" altLang="ko-KR" sz="1100"/>
            <a:t>") </a:t>
          </a:r>
          <a:r>
            <a:rPr lang="ko-KR" altLang="en-US" sz="1100"/>
            <a:t>이다</a:t>
          </a:r>
          <a:r>
            <a:rPr lang="en-US" altLang="ko-KR" sz="1100"/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개의 판자를 사용하는 경우라면 판자의 길이는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("2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개의 판자를 사용하는 경우 판자의 길이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"2nd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로 긴 연속한 빈 공간의 크기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")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이다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...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개의 판자를 사용하는 경우라면 판자의 길이는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("K-1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개의 판자를 사용하는 경우 판자의 길이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"K-1th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로 긴 연속한 빈 공간의 크기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")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이다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effectLst/>
          </a:endParaRPr>
        </a:p>
        <a:p>
          <a:r>
            <a:rPr lang="en-US" altLang="ko-KR" sz="1100"/>
            <a:t>[</a:t>
          </a:r>
          <a:r>
            <a:rPr lang="ko-KR" altLang="en-US" sz="1100"/>
            <a:t>해결전략</a:t>
          </a:r>
          <a:r>
            <a:rPr lang="en-US" altLang="ko-KR" sz="1100"/>
            <a:t>]</a:t>
          </a:r>
        </a:p>
        <a:p>
          <a:r>
            <a:rPr lang="ko-KR" altLang="en-US" sz="1100"/>
            <a:t>입력 데이터를 이용한 연속한 빈 공간의 크기들을 구하여 내림차순으로 정렬한다</a:t>
          </a:r>
          <a:r>
            <a:rPr lang="en-US" altLang="ko-KR" sz="1100"/>
            <a:t>.</a:t>
          </a:r>
        </a:p>
        <a:p>
          <a:r>
            <a:rPr lang="en-US" altLang="ko-KR" sz="1100"/>
            <a:t>1</a:t>
          </a:r>
          <a:r>
            <a:rPr lang="ko-KR" altLang="en-US" sz="1100"/>
            <a:t>개의 판자를 사용하는 경우 판자의 길이를 구하고 </a:t>
          </a:r>
          <a:endParaRPr lang="en-US" altLang="ko-KR" sz="1100"/>
        </a:p>
        <a:p>
          <a:r>
            <a:rPr lang="ko-KR" altLang="en-US" sz="1100"/>
            <a:t>이 길이에서 </a:t>
          </a:r>
          <a:r>
            <a:rPr lang="en-US" altLang="ko-KR" sz="1100"/>
            <a:t>K-1</a:t>
          </a:r>
          <a:r>
            <a:rPr lang="ko-KR" altLang="en-US" sz="1100"/>
            <a:t>개의 가장 큰 연속한 빈 공간의 크기를 빼주면 답이 된다</a:t>
          </a:r>
          <a:r>
            <a:rPr lang="en-US" altLang="ko-KR" sz="1100"/>
            <a:t>.</a:t>
          </a:r>
          <a:endParaRPr lang="ko-KR" altLang="en-US" sz="11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1</xdr:row>
      <xdr:rowOff>142875</xdr:rowOff>
    </xdr:from>
    <xdr:to>
      <xdr:col>21</xdr:col>
      <xdr:colOff>247650</xdr:colOff>
      <xdr:row>12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BEE3B92-4BFF-4D69-915C-B586B16561F9}"/>
            </a:ext>
          </a:extLst>
        </xdr:cNvPr>
        <xdr:cNvSpPr txBox="1"/>
      </xdr:nvSpPr>
      <xdr:spPr>
        <a:xfrm>
          <a:off x="739140" y="371475"/>
          <a:ext cx="5962650" cy="23450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[</a:t>
          </a:r>
          <a:r>
            <a:rPr lang="ko-KR" altLang="en-US" sz="1100"/>
            <a:t>문제 분석</a:t>
          </a:r>
          <a:r>
            <a:rPr lang="en-US" altLang="ko-KR" sz="1100"/>
            <a:t>]</a:t>
          </a:r>
        </a:p>
        <a:p>
          <a:r>
            <a:rPr lang="ko-KR" altLang="en-US" sz="1100"/>
            <a:t>발전소는 좌우 </a:t>
          </a:r>
          <a:r>
            <a:rPr lang="en-US" altLang="ko-KR" sz="1100"/>
            <a:t>K</a:t>
          </a:r>
          <a:r>
            <a:rPr lang="ko-KR" altLang="en-US" sz="1100"/>
            <a:t>범위를 커버한다</a:t>
          </a:r>
          <a:r>
            <a:rPr lang="en-US" altLang="ko-KR" sz="1100"/>
            <a:t>.</a:t>
          </a:r>
        </a:p>
        <a:p>
          <a:r>
            <a:rPr lang="ko-KR" altLang="en-US" sz="1100"/>
            <a:t>첫 발전소 위치는 </a:t>
          </a:r>
          <a:r>
            <a:rPr lang="en-US" altLang="ko-KR" sz="1100"/>
            <a:t>1~K</a:t>
          </a:r>
          <a:r>
            <a:rPr lang="ko-KR" altLang="en-US" sz="1100"/>
            <a:t>중에 최댓값  </a:t>
          </a:r>
          <a:r>
            <a:rPr lang="en-US" altLang="ko-KR" sz="1100"/>
            <a:t>pos</a:t>
          </a:r>
          <a:r>
            <a:rPr lang="ko-KR" altLang="en-US" sz="1100"/>
            <a:t>이다</a:t>
          </a:r>
          <a:r>
            <a:rPr lang="en-US" altLang="ko-KR" sz="1100"/>
            <a:t>.</a:t>
          </a:r>
        </a:p>
        <a:p>
          <a:r>
            <a:rPr lang="ko-KR" altLang="en-US" sz="1100"/>
            <a:t>두 번째부터 그 이후 발전소 위치는 </a:t>
          </a:r>
          <a:r>
            <a:rPr lang="en-US" altLang="ko-KR" sz="1100"/>
            <a:t>pos + 1 ~ pos + K*2 - 1</a:t>
          </a:r>
          <a:r>
            <a:rPr lang="ko-KR" altLang="en-US" sz="1100"/>
            <a:t>중 최댓값 </a:t>
          </a:r>
          <a:r>
            <a:rPr lang="en-US" altLang="ko-KR" sz="1100"/>
            <a:t>pos</a:t>
          </a:r>
          <a:r>
            <a:rPr lang="ko-KR" altLang="en-US" sz="1100"/>
            <a:t>이다</a:t>
          </a:r>
          <a:r>
            <a:rPr lang="en-US" altLang="ko-KR" sz="1100"/>
            <a:t>.</a:t>
          </a:r>
        </a:p>
        <a:p>
          <a:endParaRPr lang="en-US" altLang="ko-KR" sz="1100"/>
        </a:p>
        <a:p>
          <a:endParaRPr lang="en-US" altLang="ko-KR" sz="1100"/>
        </a:p>
        <a:p>
          <a:r>
            <a:rPr lang="en-US" altLang="ko-KR" sz="1100"/>
            <a:t>[</a:t>
          </a:r>
          <a:r>
            <a:rPr lang="ko-KR" altLang="en-US" sz="1100"/>
            <a:t>해결 전략</a:t>
          </a:r>
          <a:r>
            <a:rPr lang="en-US" altLang="ko-KR" sz="1100"/>
            <a:t>]</a:t>
          </a:r>
        </a:p>
        <a:p>
          <a:r>
            <a:rPr lang="ko-KR" altLang="en-US" sz="1100"/>
            <a:t>첫 번째 발전소부터 차례로 </a:t>
          </a:r>
          <a:r>
            <a:rPr lang="en-US" altLang="ko-KR" sz="1100"/>
            <a:t>Greedy</a:t>
          </a:r>
          <a:r>
            <a:rPr lang="ko-KR" altLang="en-US" sz="1100"/>
            <a:t>하게 찾아 간다</a:t>
          </a:r>
          <a:r>
            <a:rPr lang="en-US" altLang="ko-KR" sz="1100"/>
            <a:t>.</a:t>
          </a:r>
        </a:p>
        <a:p>
          <a:r>
            <a:rPr lang="ko-KR" altLang="en-US" sz="1100"/>
            <a:t>마지막 발전소가</a:t>
          </a:r>
          <a:r>
            <a:rPr lang="ko-KR" altLang="en-US" sz="1100" baseline="0"/>
            <a:t> </a:t>
          </a:r>
          <a:r>
            <a:rPr lang="en-US" altLang="ko-KR" sz="1100" baseline="0"/>
            <a:t>N</a:t>
          </a:r>
          <a:r>
            <a:rPr lang="ko-KR" altLang="en-US" sz="1100" baseline="0"/>
            <a:t>번째 집을 커버할 수 있다면 답은 존재한다</a:t>
          </a:r>
          <a:r>
            <a:rPr lang="en-US" altLang="ko-KR" sz="1100" baseline="0"/>
            <a:t>.</a:t>
          </a:r>
          <a:endParaRPr lang="ko-KR" altLang="en-US" sz="1100"/>
        </a:p>
      </xdr:txBody>
    </xdr:sp>
    <xdr:clientData/>
  </xdr:twoCellAnchor>
  <xdr:twoCellAnchor>
    <xdr:from>
      <xdr:col>4</xdr:col>
      <xdr:colOff>178927</xdr:colOff>
      <xdr:row>19</xdr:row>
      <xdr:rowOff>11574</xdr:rowOff>
    </xdr:from>
    <xdr:to>
      <xdr:col>9</xdr:col>
      <xdr:colOff>133350</xdr:colOff>
      <xdr:row>19</xdr:row>
      <xdr:rowOff>133353</xdr:rowOff>
    </xdr:to>
    <xdr:sp macro="" textlink="">
      <xdr:nvSpPr>
        <xdr:cNvPr id="3" name="오른쪽 중괄호 2">
          <a:extLst>
            <a:ext uri="{FF2B5EF4-FFF2-40B4-BE49-F238E27FC236}">
              <a16:creationId xmlns:a16="http://schemas.microsoft.com/office/drawing/2014/main" id="{B3212316-0CFE-470A-8C9D-E4BF3C0DBD3F}"/>
            </a:ext>
          </a:extLst>
        </xdr:cNvPr>
        <xdr:cNvSpPr/>
      </xdr:nvSpPr>
      <xdr:spPr>
        <a:xfrm rot="5400000">
          <a:off x="2240279" y="3558542"/>
          <a:ext cx="121779" cy="1440323"/>
        </a:xfrm>
        <a:prstGeom prst="rightBrac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57148</xdr:colOff>
      <xdr:row>19</xdr:row>
      <xdr:rowOff>200024</xdr:rowOff>
    </xdr:from>
    <xdr:to>
      <xdr:col>11</xdr:col>
      <xdr:colOff>285751</xdr:colOff>
      <xdr:row>21</xdr:row>
      <xdr:rowOff>95249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9B04C4B5-C0AE-48C1-8D4B-C82F10F49171}"/>
            </a:ext>
          </a:extLst>
        </xdr:cNvPr>
        <xdr:cNvSpPr/>
      </xdr:nvSpPr>
      <xdr:spPr>
        <a:xfrm>
          <a:off x="864868" y="4406264"/>
          <a:ext cx="2903223" cy="33718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3 + 2*K - 1 = 3 + 5 = 8 </a:t>
          </a:r>
          <a:r>
            <a:rPr lang="ko-KR" altLang="en-US" sz="1100"/>
            <a:t>이하의 최대값 </a:t>
          </a:r>
          <a:r>
            <a:rPr lang="en-US" altLang="ko-KR" sz="1100"/>
            <a:t>8</a:t>
          </a:r>
          <a:endParaRPr lang="ko-KR" altLang="en-US" sz="1100"/>
        </a:p>
      </xdr:txBody>
    </xdr:sp>
    <xdr:clientData/>
  </xdr:twoCellAnchor>
  <xdr:twoCellAnchor>
    <xdr:from>
      <xdr:col>4</xdr:col>
      <xdr:colOff>140826</xdr:colOff>
      <xdr:row>27</xdr:row>
      <xdr:rowOff>11576</xdr:rowOff>
    </xdr:from>
    <xdr:to>
      <xdr:col>8</xdr:col>
      <xdr:colOff>95250</xdr:colOff>
      <xdr:row>31</xdr:row>
      <xdr:rowOff>38103</xdr:rowOff>
    </xdr:to>
    <xdr:sp macro="" textlink="">
      <xdr:nvSpPr>
        <xdr:cNvPr id="5" name="오른쪽 중괄호 4">
          <a:extLst>
            <a:ext uri="{FF2B5EF4-FFF2-40B4-BE49-F238E27FC236}">
              <a16:creationId xmlns:a16="http://schemas.microsoft.com/office/drawing/2014/main" id="{B8304FE3-0CDD-447C-A0F7-B06A015B7716}"/>
            </a:ext>
          </a:extLst>
        </xdr:cNvPr>
        <xdr:cNvSpPr/>
      </xdr:nvSpPr>
      <xdr:spPr>
        <a:xfrm rot="5400000">
          <a:off x="1659254" y="5869308"/>
          <a:ext cx="910447" cy="1143144"/>
        </a:xfrm>
        <a:prstGeom prst="rightBrac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47623</xdr:colOff>
      <xdr:row>31</xdr:row>
      <xdr:rowOff>66674</xdr:rowOff>
    </xdr:from>
    <xdr:to>
      <xdr:col>10</xdr:col>
      <xdr:colOff>123825</xdr:colOff>
      <xdr:row>32</xdr:row>
      <xdr:rowOff>171449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CF30F9A-0ABB-4AAB-A816-97A5B1E76941}"/>
            </a:ext>
          </a:extLst>
        </xdr:cNvPr>
        <xdr:cNvSpPr/>
      </xdr:nvSpPr>
      <xdr:spPr>
        <a:xfrm>
          <a:off x="855343" y="6924674"/>
          <a:ext cx="2453642" cy="32575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3 + 2*K - 1 = 3 + 5 = 8</a:t>
          </a:r>
          <a:r>
            <a:rPr lang="en-US" altLang="ko-KR" sz="1100" baseline="0"/>
            <a:t> </a:t>
          </a:r>
          <a:r>
            <a:rPr lang="ko-KR" altLang="en-US" sz="1100" baseline="0"/>
            <a:t>이하의 최대값 </a:t>
          </a:r>
          <a:r>
            <a:rPr lang="en-US" altLang="ko-KR" sz="1100" baseline="0"/>
            <a:t>7</a:t>
          </a:r>
          <a:endParaRPr lang="ko-KR" altLang="en-US" sz="1100"/>
        </a:p>
      </xdr:txBody>
    </xdr:sp>
    <xdr:clientData/>
  </xdr:twoCellAnchor>
  <xdr:twoCellAnchor>
    <xdr:from>
      <xdr:col>8</xdr:col>
      <xdr:colOff>209549</xdr:colOff>
      <xdr:row>27</xdr:row>
      <xdr:rowOff>21103</xdr:rowOff>
    </xdr:from>
    <xdr:to>
      <xdr:col>11</xdr:col>
      <xdr:colOff>219073</xdr:colOff>
      <xdr:row>28</xdr:row>
      <xdr:rowOff>47628</xdr:rowOff>
    </xdr:to>
    <xdr:sp macro="" textlink="">
      <xdr:nvSpPr>
        <xdr:cNvPr id="7" name="오른쪽 중괄호 6">
          <a:extLst>
            <a:ext uri="{FF2B5EF4-FFF2-40B4-BE49-F238E27FC236}">
              <a16:creationId xmlns:a16="http://schemas.microsoft.com/office/drawing/2014/main" id="{5B20284C-1671-4D3D-A513-D738487C0D94}"/>
            </a:ext>
          </a:extLst>
        </xdr:cNvPr>
        <xdr:cNvSpPr/>
      </xdr:nvSpPr>
      <xdr:spPr>
        <a:xfrm rot="5400000">
          <a:off x="3127128" y="5668404"/>
          <a:ext cx="247505" cy="901064"/>
        </a:xfrm>
        <a:prstGeom prst="rightBrac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28573</xdr:colOff>
      <xdr:row>28</xdr:row>
      <xdr:rowOff>114299</xdr:rowOff>
    </xdr:from>
    <xdr:to>
      <xdr:col>15</xdr:col>
      <xdr:colOff>161925</xdr:colOff>
      <xdr:row>30</xdr:row>
      <xdr:rowOff>9524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A1A5F94-61FD-4F8D-B308-3043C8C7F3C0}"/>
            </a:ext>
          </a:extLst>
        </xdr:cNvPr>
        <xdr:cNvSpPr/>
      </xdr:nvSpPr>
      <xdr:spPr>
        <a:xfrm>
          <a:off x="2916553" y="6309359"/>
          <a:ext cx="1916432" cy="33718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7 + 5 = 12</a:t>
          </a:r>
          <a:r>
            <a:rPr lang="en-US" altLang="ko-KR" sz="1100" baseline="0"/>
            <a:t> </a:t>
          </a:r>
          <a:r>
            <a:rPr lang="ko-KR" altLang="en-US" sz="1100" baseline="0"/>
            <a:t>이하의 최대값 </a:t>
          </a:r>
          <a:r>
            <a:rPr lang="en-US" altLang="ko-KR" sz="1100" baseline="0"/>
            <a:t>10</a:t>
          </a:r>
          <a:endParaRPr lang="ko-KR" altLang="en-US" sz="11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313136</xdr:colOff>
      <xdr:row>3</xdr:row>
      <xdr:rowOff>35719</xdr:rowOff>
    </xdr:from>
    <xdr:to>
      <xdr:col>9</xdr:col>
      <xdr:colOff>11906</xdr:colOff>
      <xdr:row>3</xdr:row>
      <xdr:rowOff>244078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DB64FC2-B4D2-419C-B77C-3FF2523F3C74}"/>
            </a:ext>
          </a:extLst>
        </xdr:cNvPr>
        <xdr:cNvSpPr/>
      </xdr:nvSpPr>
      <xdr:spPr>
        <a:xfrm>
          <a:off x="2583896" y="713899"/>
          <a:ext cx="1260870" cy="208359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-15 ~ 5</a:t>
          </a:r>
          <a:endParaRPr lang="ko-KR" altLang="en-US" sz="1100"/>
        </a:p>
      </xdr:txBody>
    </xdr:sp>
    <xdr:clientData/>
  </xdr:twoCellAnchor>
  <xdr:twoCellAnchor>
    <xdr:from>
      <xdr:col>5</xdr:col>
      <xdr:colOff>307181</xdr:colOff>
      <xdr:row>4</xdr:row>
      <xdr:rowOff>41673</xdr:rowOff>
    </xdr:from>
    <xdr:to>
      <xdr:col>15</xdr:col>
      <xdr:colOff>53578</xdr:colOff>
      <xdr:row>4</xdr:row>
      <xdr:rowOff>232173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AABDC034-4219-4A64-861A-862AED639F55}"/>
            </a:ext>
          </a:extLst>
        </xdr:cNvPr>
        <xdr:cNvSpPr/>
      </xdr:nvSpPr>
      <xdr:spPr>
        <a:xfrm>
          <a:off x="2890361" y="1001793"/>
          <a:ext cx="2870597" cy="19050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-10 ~ 36</a:t>
          </a:r>
          <a:endParaRPr lang="ko-KR" altLang="en-US" sz="1100"/>
        </a:p>
      </xdr:txBody>
    </xdr:sp>
    <xdr:clientData/>
  </xdr:twoCellAnchor>
  <xdr:twoCellAnchor>
    <xdr:from>
      <xdr:col>10</xdr:col>
      <xdr:colOff>9524</xdr:colOff>
      <xdr:row>5</xdr:row>
      <xdr:rowOff>29764</xdr:rowOff>
    </xdr:from>
    <xdr:to>
      <xdr:col>22</xdr:col>
      <xdr:colOff>95249</xdr:colOff>
      <xdr:row>5</xdr:row>
      <xdr:rowOff>255985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9678C9C4-EA6F-4583-9DFB-EF7D02075CC2}"/>
            </a:ext>
          </a:extLst>
        </xdr:cNvPr>
        <xdr:cNvSpPr/>
      </xdr:nvSpPr>
      <xdr:spPr>
        <a:xfrm>
          <a:off x="4154804" y="1271824"/>
          <a:ext cx="3834765" cy="226221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10 ~ 73</a:t>
          </a:r>
          <a:endParaRPr lang="ko-KR" altLang="en-US" sz="1100"/>
        </a:p>
      </xdr:txBody>
    </xdr:sp>
    <xdr:clientData/>
  </xdr:twoCellAnchor>
  <xdr:twoCellAnchor>
    <xdr:from>
      <xdr:col>13</xdr:col>
      <xdr:colOff>63102</xdr:colOff>
      <xdr:row>6</xdr:row>
      <xdr:rowOff>35718</xdr:rowOff>
    </xdr:from>
    <xdr:to>
      <xdr:col>16</xdr:col>
      <xdr:colOff>250031</xdr:colOff>
      <xdr:row>6</xdr:row>
      <xdr:rowOff>244078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9258BC8-A9E7-44E5-A41B-4FBB58DD5509}"/>
            </a:ext>
          </a:extLst>
        </xdr:cNvPr>
        <xdr:cNvSpPr/>
      </xdr:nvSpPr>
      <xdr:spPr>
        <a:xfrm>
          <a:off x="5145642" y="1559718"/>
          <a:ext cx="1124189" cy="20836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27 ~ 44</a:t>
          </a:r>
          <a:endParaRPr lang="ko-KR" altLang="en-US" sz="1100"/>
        </a:p>
      </xdr:txBody>
    </xdr:sp>
    <xdr:clientData/>
  </xdr:twoCellAnchor>
  <xdr:twoCellAnchor>
    <xdr:from>
      <xdr:col>6</xdr:col>
      <xdr:colOff>17859</xdr:colOff>
      <xdr:row>3</xdr:row>
      <xdr:rowOff>17860</xdr:rowOff>
    </xdr:from>
    <xdr:to>
      <xdr:col>9</xdr:col>
      <xdr:colOff>17859</xdr:colOff>
      <xdr:row>4</xdr:row>
      <xdr:rowOff>202407</xdr:rowOff>
    </xdr:to>
    <xdr:sp macro="" textlink="">
      <xdr:nvSpPr>
        <xdr:cNvPr id="6" name="양쪽 대괄호 5">
          <a:extLst>
            <a:ext uri="{FF2B5EF4-FFF2-40B4-BE49-F238E27FC236}">
              <a16:creationId xmlns:a16="http://schemas.microsoft.com/office/drawing/2014/main" id="{6910789E-BA75-491C-8000-B14698C64313}"/>
            </a:ext>
          </a:extLst>
        </xdr:cNvPr>
        <xdr:cNvSpPr/>
      </xdr:nvSpPr>
      <xdr:spPr>
        <a:xfrm>
          <a:off x="2913459" y="696040"/>
          <a:ext cx="937260" cy="466487"/>
        </a:xfrm>
        <a:prstGeom prst="bracketPair">
          <a:avLst/>
        </a:prstGeom>
        <a:ln>
          <a:solidFill>
            <a:schemeClr val="accent3">
              <a:lumMod val="75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59530</xdr:colOff>
      <xdr:row>5</xdr:row>
      <xdr:rowOff>17860</xdr:rowOff>
    </xdr:from>
    <xdr:to>
      <xdr:col>16</xdr:col>
      <xdr:colOff>250032</xdr:colOff>
      <xdr:row>6</xdr:row>
      <xdr:rowOff>202407</xdr:rowOff>
    </xdr:to>
    <xdr:sp macro="" textlink="">
      <xdr:nvSpPr>
        <xdr:cNvPr id="7" name="양쪽 대괄호 6">
          <a:extLst>
            <a:ext uri="{FF2B5EF4-FFF2-40B4-BE49-F238E27FC236}">
              <a16:creationId xmlns:a16="http://schemas.microsoft.com/office/drawing/2014/main" id="{1CD8D1C6-0696-4563-B185-97028E58B0F5}"/>
            </a:ext>
          </a:extLst>
        </xdr:cNvPr>
        <xdr:cNvSpPr/>
      </xdr:nvSpPr>
      <xdr:spPr>
        <a:xfrm>
          <a:off x="5142070" y="1259920"/>
          <a:ext cx="1127762" cy="466487"/>
        </a:xfrm>
        <a:prstGeom prst="bracketPair">
          <a:avLst/>
        </a:prstGeom>
        <a:ln>
          <a:solidFill>
            <a:schemeClr val="accent3">
              <a:lumMod val="75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4485</xdr:colOff>
      <xdr:row>7</xdr:row>
      <xdr:rowOff>50371</xdr:rowOff>
    </xdr:from>
    <xdr:to>
      <xdr:col>21</xdr:col>
      <xdr:colOff>285749</xdr:colOff>
      <xdr:row>7</xdr:row>
      <xdr:rowOff>258731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8A3ABAC2-CEB9-435A-9AC2-50969FD0AA4D}"/>
            </a:ext>
          </a:extLst>
        </xdr:cNvPr>
        <xdr:cNvSpPr/>
      </xdr:nvSpPr>
      <xdr:spPr>
        <a:xfrm>
          <a:off x="6649125" y="1856311"/>
          <a:ext cx="1218524" cy="208360"/>
        </a:xfrm>
        <a:prstGeom prst="rect">
          <a:avLst/>
        </a:prstGeom>
        <a:solidFill>
          <a:srgbClr val="7030A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50 ~ 70</a:t>
          </a:r>
          <a:endParaRPr lang="ko-KR" altLang="en-US" sz="1100"/>
        </a:p>
      </xdr:txBody>
    </xdr:sp>
    <xdr:clientData/>
  </xdr:twoCellAnchor>
  <xdr:twoCellAnchor>
    <xdr:from>
      <xdr:col>18</xdr:col>
      <xdr:colOff>8241</xdr:colOff>
      <xdr:row>6</xdr:row>
      <xdr:rowOff>219808</xdr:rowOff>
    </xdr:from>
    <xdr:to>
      <xdr:col>21</xdr:col>
      <xdr:colOff>293077</xdr:colOff>
      <xdr:row>8</xdr:row>
      <xdr:rowOff>11907</xdr:rowOff>
    </xdr:to>
    <xdr:sp macro="" textlink="">
      <xdr:nvSpPr>
        <xdr:cNvPr id="9" name="양쪽 대괄호 8">
          <a:extLst>
            <a:ext uri="{FF2B5EF4-FFF2-40B4-BE49-F238E27FC236}">
              <a16:creationId xmlns:a16="http://schemas.microsoft.com/office/drawing/2014/main" id="{B5AB21F9-30A8-4761-9E2E-036D4EEF45B9}"/>
            </a:ext>
          </a:extLst>
        </xdr:cNvPr>
        <xdr:cNvSpPr/>
      </xdr:nvSpPr>
      <xdr:spPr>
        <a:xfrm>
          <a:off x="6652881" y="1743808"/>
          <a:ext cx="1222096" cy="355979"/>
        </a:xfrm>
        <a:prstGeom prst="bracketPair">
          <a:avLst/>
        </a:prstGeom>
        <a:ln>
          <a:solidFill>
            <a:schemeClr val="accent3">
              <a:lumMod val="75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249115</xdr:colOff>
      <xdr:row>10</xdr:row>
      <xdr:rowOff>87923</xdr:rowOff>
    </xdr:from>
    <xdr:to>
      <xdr:col>21</xdr:col>
      <xdr:colOff>117231</xdr:colOff>
      <xdr:row>19</xdr:row>
      <xdr:rowOff>124558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98DC242-6C4B-4B2C-8240-45FCD8C5E4B7}"/>
            </a:ext>
          </a:extLst>
        </xdr:cNvPr>
        <xdr:cNvSpPr txBox="1"/>
      </xdr:nvSpPr>
      <xdr:spPr>
        <a:xfrm>
          <a:off x="2519875" y="2678723"/>
          <a:ext cx="5179256" cy="20254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/>
            <a:t>[</a:t>
          </a:r>
          <a:r>
            <a:rPr lang="ko-KR" altLang="en-US" sz="1100" b="1"/>
            <a:t>해결전략</a:t>
          </a:r>
          <a:r>
            <a:rPr lang="en-US" altLang="ko-KR" sz="1100" b="1"/>
            <a:t>]</a:t>
          </a:r>
        </a:p>
        <a:p>
          <a:r>
            <a:rPr lang="en-US" altLang="ko-KR" sz="1100"/>
            <a:t>1. </a:t>
          </a:r>
          <a:r>
            <a:rPr lang="ko-KR" altLang="en-US" sz="1100"/>
            <a:t>물질의 </a:t>
          </a:r>
          <a:r>
            <a:rPr lang="en-US" altLang="ko-KR" sz="1100"/>
            <a:t>xi(</a:t>
          </a:r>
          <a:r>
            <a:rPr lang="ko-KR" altLang="en-US" sz="1100"/>
            <a:t>최저 온도</a:t>
          </a:r>
          <a:r>
            <a:rPr lang="en-US" altLang="ko-KR" sz="1100"/>
            <a:t>)</a:t>
          </a:r>
          <a:r>
            <a:rPr lang="ko-KR" altLang="en-US" sz="1100"/>
            <a:t>를 기준으로 정렬한다</a:t>
          </a:r>
          <a:r>
            <a:rPr lang="en-US" altLang="ko-KR" sz="1100"/>
            <a:t>.</a:t>
          </a:r>
          <a:r>
            <a:rPr lang="ko-KR" altLang="en-US" sz="1100"/>
            <a:t> </a:t>
          </a:r>
          <a:endParaRPr lang="en-US" altLang="ko-KR" sz="1100"/>
        </a:p>
        <a:p>
          <a:r>
            <a:rPr lang="en-US" altLang="ko-KR" sz="1100"/>
            <a:t>2. </a:t>
          </a:r>
          <a:r>
            <a:rPr lang="ko-KR" altLang="en-US" sz="1100"/>
            <a:t>초기 </a:t>
          </a:r>
          <a:r>
            <a:rPr lang="en-US" altLang="ko-KR" sz="1100"/>
            <a:t>[x,</a:t>
          </a:r>
          <a:r>
            <a:rPr lang="en-US" altLang="ko-KR" sz="1100" baseline="0"/>
            <a:t> y] </a:t>
          </a:r>
          <a:r>
            <a:rPr lang="ko-KR" altLang="en-US" sz="1100" baseline="0"/>
            <a:t>는 첫 번째 물질의 최저온도</a:t>
          </a:r>
          <a:r>
            <a:rPr lang="en-US" altLang="ko-KR" sz="1100" baseline="0"/>
            <a:t>, </a:t>
          </a:r>
          <a:r>
            <a:rPr lang="ko-KR" altLang="en-US" sz="1100" baseline="0"/>
            <a:t>최고 온도이다</a:t>
          </a:r>
          <a:r>
            <a:rPr lang="en-US" altLang="ko-KR" sz="1100" baseline="0"/>
            <a:t>.</a:t>
          </a:r>
          <a:endParaRPr lang="en-US" altLang="ko-KR" sz="1100"/>
        </a:p>
        <a:p>
          <a:r>
            <a:rPr lang="en-US" altLang="ko-KR" sz="1100"/>
            <a:t>3.  </a:t>
          </a:r>
          <a:r>
            <a:rPr lang="ko-KR" altLang="en-US" sz="1100"/>
            <a:t>정렬된 배열을 순회하며 </a:t>
          </a:r>
          <a:r>
            <a:rPr lang="en-US" altLang="ko-KR" sz="1100"/>
            <a:t>y(</a:t>
          </a:r>
          <a:r>
            <a:rPr lang="ko-KR" altLang="en-US" sz="1100"/>
            <a:t>최고 온도</a:t>
          </a:r>
          <a:r>
            <a:rPr lang="en-US" altLang="ko-KR" sz="1100"/>
            <a:t>)</a:t>
          </a:r>
          <a:r>
            <a:rPr lang="ko-KR" altLang="en-US" sz="1100"/>
            <a:t>를 더 낮은 온도로 업데이트 한다</a:t>
          </a:r>
          <a:r>
            <a:rPr lang="en-US" altLang="ko-KR" sz="1100"/>
            <a:t>.</a:t>
          </a:r>
        </a:p>
        <a:p>
          <a:r>
            <a:rPr lang="ko-KR" altLang="en-US" sz="1100"/>
            <a:t>      위 그림처럼 </a:t>
          </a:r>
          <a:r>
            <a:rPr lang="en-US" altLang="ko-KR" sz="1100"/>
            <a:t>x &gt; y</a:t>
          </a:r>
          <a:r>
            <a:rPr lang="ko-KR" altLang="en-US" sz="1100"/>
            <a:t>가 되는 순간 새로운 냉장고가 필요한 상황이 된다</a:t>
          </a:r>
          <a:r>
            <a:rPr lang="en-US" altLang="ko-KR" sz="1100"/>
            <a:t>.</a:t>
          </a:r>
        </a:p>
        <a:p>
          <a:r>
            <a:rPr lang="en-US" altLang="ko-KR" sz="1100"/>
            <a:t>4. </a:t>
          </a:r>
          <a:r>
            <a:rPr lang="ko-KR" altLang="en-US" sz="1100"/>
            <a:t>모든 화학물질을 탐색하며 </a:t>
          </a:r>
          <a:r>
            <a:rPr lang="en-US" altLang="ko-KR" sz="1100"/>
            <a:t>2~3</a:t>
          </a:r>
          <a:r>
            <a:rPr lang="ko-KR" altLang="en-US" sz="1100"/>
            <a:t>을 반복수행한다</a:t>
          </a:r>
          <a:r>
            <a:rPr lang="en-US" altLang="ko-KR" sz="1100"/>
            <a:t>.</a:t>
          </a:r>
          <a:endParaRPr lang="ko-KR" altLang="en-US" sz="1100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304799</xdr:colOff>
      <xdr:row>1</xdr:row>
      <xdr:rowOff>133349</xdr:rowOff>
    </xdr:from>
    <xdr:to>
      <xdr:col>16</xdr:col>
      <xdr:colOff>263769</xdr:colOff>
      <xdr:row>20</xdr:row>
      <xdr:rowOff>49530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1671191-BAA5-6D9A-125A-AA3D92C9A210}"/>
            </a:ext>
          </a:extLst>
        </xdr:cNvPr>
        <xdr:cNvSpPr txBox="1"/>
      </xdr:nvSpPr>
      <xdr:spPr>
        <a:xfrm>
          <a:off x="846991" y="360484"/>
          <a:ext cx="6934201" cy="40925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/>
            <a:t>[</a:t>
          </a:r>
          <a:r>
            <a:rPr lang="ko-KR" altLang="en-US" sz="1100" b="1"/>
            <a:t>문제 분석</a:t>
          </a:r>
          <a:r>
            <a:rPr lang="en-US" altLang="ko-KR" sz="1100" b="1"/>
            <a:t>]</a:t>
          </a:r>
        </a:p>
        <a:p>
          <a:r>
            <a:rPr lang="ko-KR" altLang="en-US" sz="1100"/>
            <a:t>저울 문제는 추를 한쪽에만 놓을수 있는가</a:t>
          </a:r>
          <a:r>
            <a:rPr lang="en-US" altLang="ko-KR" sz="1100"/>
            <a:t>? </a:t>
          </a:r>
          <a:r>
            <a:rPr lang="ko-KR" altLang="en-US" sz="1100"/>
            <a:t>양쪽에 모두 놓을수 있는가</a:t>
          </a:r>
          <a:r>
            <a:rPr lang="en-US" altLang="ko-KR" sz="1100"/>
            <a:t>? </a:t>
          </a:r>
          <a:r>
            <a:rPr lang="ko-KR" altLang="en-US" sz="1100"/>
            <a:t>에</a:t>
          </a:r>
          <a:endParaRPr lang="en-US" altLang="ko-KR" sz="1100"/>
        </a:p>
        <a:p>
          <a:r>
            <a:rPr lang="ko-KR" altLang="en-US" sz="1100"/>
            <a:t>따라 문제</a:t>
          </a:r>
          <a:r>
            <a:rPr lang="ko-KR" altLang="en-US" sz="1100" baseline="0"/>
            <a:t> 해결방법이 달라진다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1. </a:t>
          </a:r>
          <a:r>
            <a:rPr lang="ko-KR" altLang="en-US" sz="1100" baseline="0"/>
            <a:t>한쪽에만 놓는 경우 </a:t>
          </a:r>
          <a:r>
            <a:rPr lang="en-US" altLang="ko-KR" sz="1100" baseline="0"/>
            <a:t>:</a:t>
          </a:r>
          <a:r>
            <a:rPr lang="ko-KR" altLang="en-US" sz="1100" baseline="0"/>
            <a:t> 저울 무게의 합만을 고려하여 결정된다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2. </a:t>
          </a:r>
          <a:r>
            <a:rPr lang="ko-KR" altLang="en-US" sz="1100" baseline="0"/>
            <a:t>양쪽에 놓을 수 있는 경우 </a:t>
          </a:r>
          <a:r>
            <a:rPr lang="en-US" altLang="ko-KR" sz="1100" baseline="0"/>
            <a:t>: </a:t>
          </a:r>
          <a:r>
            <a:rPr lang="ko-KR" altLang="en-US" sz="1100" baseline="0"/>
            <a:t>저울 무게의 합과 차를 고려하여 결정된다</a:t>
          </a:r>
          <a:r>
            <a:rPr lang="en-US" altLang="ko-KR" sz="1100" baseline="0"/>
            <a:t>.</a:t>
          </a:r>
        </a:p>
        <a:p>
          <a:endParaRPr lang="en-US" altLang="ko-KR" sz="1100" baseline="0"/>
        </a:p>
        <a:p>
          <a:r>
            <a:rPr lang="ko-KR" altLang="en-US" sz="1100" baseline="0"/>
            <a:t>이 문에의 경우 한쪽에만 저울을 놓을 수 있으므로 합을 이용하여 문제를 해결할 수 있다</a:t>
          </a:r>
          <a:r>
            <a:rPr lang="en-US" altLang="ko-KR" sz="1100" baseline="0"/>
            <a:t>.</a:t>
          </a:r>
        </a:p>
        <a:p>
          <a:endParaRPr lang="en-US" altLang="ko-KR" sz="1100" baseline="0"/>
        </a:p>
        <a:p>
          <a:r>
            <a:rPr lang="en-US" altLang="ko-KR" sz="1100" baseline="0"/>
            <a:t>[</a:t>
          </a:r>
          <a:r>
            <a:rPr lang="ko-KR" altLang="en-US" sz="1100" baseline="0"/>
            <a:t>해결전략</a:t>
          </a:r>
          <a:r>
            <a:rPr lang="en-US" altLang="ko-KR" sz="1100" baseline="0"/>
            <a:t>]</a:t>
          </a:r>
        </a:p>
        <a:p>
          <a:r>
            <a:rPr lang="ko-KR" altLang="en-US" sz="1100" baseline="0"/>
            <a:t>만약 </a:t>
          </a:r>
          <a:r>
            <a:rPr lang="en-US" altLang="ko-KR" sz="1100" baseline="0"/>
            <a:t>1</a:t>
          </a:r>
          <a:r>
            <a:rPr lang="ko-KR" altLang="en-US" sz="1100" baseline="0"/>
            <a:t>그램 추가 없다면 답은 </a:t>
          </a:r>
          <a:r>
            <a:rPr lang="en-US" altLang="ko-KR" sz="1100" baseline="0"/>
            <a:t>1</a:t>
          </a:r>
          <a:r>
            <a:rPr lang="ko-KR" altLang="en-US" sz="1100" baseline="0"/>
            <a:t>그램이 된다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1</a:t>
          </a:r>
          <a:r>
            <a:rPr lang="ko-KR" altLang="en-US" sz="1100" baseline="0"/>
            <a:t>그램은 가능한데</a:t>
          </a:r>
          <a:r>
            <a:rPr lang="en-US" altLang="ko-KR" sz="1100" baseline="0"/>
            <a:t>,</a:t>
          </a:r>
          <a:r>
            <a:rPr lang="ko-KR" altLang="en-US" sz="1100" baseline="0"/>
            <a:t> 만약 </a:t>
          </a:r>
          <a:r>
            <a:rPr lang="en-US" altLang="ko-KR" sz="1100" baseline="0"/>
            <a:t>2</a:t>
          </a:r>
          <a:r>
            <a:rPr lang="ko-KR" altLang="en-US" sz="1100" baseline="0"/>
            <a:t>그램 이하의 추들의 합으로  </a:t>
          </a:r>
          <a:r>
            <a:rPr lang="en-US" altLang="ko-KR" sz="1100" baseline="0"/>
            <a:t>2</a:t>
          </a:r>
          <a:r>
            <a:rPr lang="ko-KR" altLang="en-US" sz="1100" baseline="0"/>
            <a:t>그램을 만들수 없다면 </a:t>
          </a:r>
          <a:r>
            <a:rPr lang="en-US" altLang="ko-KR" sz="1100" baseline="0"/>
            <a:t>2</a:t>
          </a:r>
          <a:r>
            <a:rPr lang="ko-KR" altLang="en-US" sz="1100" baseline="0"/>
            <a:t>그램이 답이 된다</a:t>
          </a:r>
          <a:r>
            <a:rPr lang="en-US" altLang="ko-KR" sz="1100" baseline="0"/>
            <a:t>.</a:t>
          </a: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그램이하는 가능한데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만약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그램 이하의 추들의 합으로 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그램을 만들수 없다면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그램이 답이 된다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en-US" altLang="ko-K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따라서 추들을 오름차순으로 정렬하고</a:t>
          </a:r>
          <a:endParaRPr lang="en-US" altLang="ko-K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그래부터 차례로 만들어 가다가 만들수 없는 무게가 나오면 답이 된다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en-US" altLang="ko-K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아래 예를 통하여 답을 구하는 프로세스를 살펴본다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10</xdr:col>
      <xdr:colOff>659717</xdr:colOff>
      <xdr:row>26</xdr:row>
      <xdr:rowOff>35315</xdr:rowOff>
    </xdr:from>
    <xdr:to>
      <xdr:col>24</xdr:col>
      <xdr:colOff>36634</xdr:colOff>
      <xdr:row>30</xdr:row>
      <xdr:rowOff>106678</xdr:rowOff>
    </xdr:to>
    <xdr:sp macro="" textlink="">
      <xdr:nvSpPr>
        <xdr:cNvPr id="4" name="설명선: 위쪽 화살표 3">
          <a:extLst>
            <a:ext uri="{FF2B5EF4-FFF2-40B4-BE49-F238E27FC236}">
              <a16:creationId xmlns:a16="http://schemas.microsoft.com/office/drawing/2014/main" id="{D4F299E2-5E58-268B-FC40-FAF38FA7F8AD}"/>
            </a:ext>
          </a:extLst>
        </xdr:cNvPr>
        <xdr:cNvSpPr/>
      </xdr:nvSpPr>
      <xdr:spPr>
        <a:xfrm>
          <a:off x="4828736" y="5757642"/>
          <a:ext cx="5282417" cy="950594"/>
        </a:xfrm>
        <a:prstGeom prst="upArrow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목표가 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21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이라는 것은 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까지 만들수 있고 이제 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21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을 만들어볼 차례라는 의미이다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그런데 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(0 ~ 20) + 30 = (30 ~ 50) </a:t>
          </a:r>
          <a:r>
            <a:rPr lang="ko-KR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이 되므로 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21~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31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은 만들수 없다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pPr algn="l"/>
          <a:endParaRPr lang="ko-KR" altLang="en-US" sz="1100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21892</xdr:colOff>
      <xdr:row>1</xdr:row>
      <xdr:rowOff>140584</xdr:rowOff>
    </xdr:from>
    <xdr:to>
      <xdr:col>26</xdr:col>
      <xdr:colOff>76200</xdr:colOff>
      <xdr:row>49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CAC21FA-0557-4378-B4D8-2FE5EC9D38FC}"/>
            </a:ext>
          </a:extLst>
        </xdr:cNvPr>
        <xdr:cNvSpPr txBox="1"/>
      </xdr:nvSpPr>
      <xdr:spPr>
        <a:xfrm>
          <a:off x="1984042" y="369184"/>
          <a:ext cx="7083758" cy="104321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문제 개요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endParaRPr lang="ko-KR" altLang="ko-KR">
            <a:effectLst/>
          </a:endParaRPr>
        </a:p>
        <a:p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첫 행에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차원 땅 크기의 정보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N,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( 1 &lt;= N, M &lt;= 500)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과</a:t>
          </a:r>
          <a:endParaRPr lang="ko-KR" altLang="ko-KR">
            <a:effectLst/>
          </a:endParaRPr>
        </a:p>
        <a:p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인벤토리에 담긴 블록의 개수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B(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0 ≤ B ≤ 6.4 × 10</a:t>
          </a:r>
          <a:r>
            <a:rPr lang="en-US" altLang="ko-KR" sz="1100" b="0" i="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​7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) 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가 주어진다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다음 행에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 * M 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테이블 정보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</a:t>
          </a:r>
          <a:r>
            <a:rPr lang="en-US" altLang="ko-KR" sz="1100" b="0" i="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(0 &lt;= h</a:t>
          </a:r>
          <a:r>
            <a:rPr lang="en-US" altLang="ko-KR" sz="1100" b="0" i="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&lt;=256)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가 주어진다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N*M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모든 영역을 평탄하게 고르고자 한다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pPr eaLnBrk="1" fontAlgn="auto" latinLnBrk="0" hangingPunct="1"/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인벤토리에서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개의 블록 중 하나를 꺼내어 좌표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(i, j)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의 가장 위에 있는 블록 위에 놓는다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b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 작업은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초가 걸린다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pPr eaLnBrk="1" fontAlgn="auto" latinLnBrk="0" hangingPunct="1"/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좌표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(i, j)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의 가장 위에 있는 블록 하나를 제거하여 인벤토리에 넣는다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b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 작업은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초가 걸린다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땅을 고르는데 드는 시간과 땅을 고른후 높이를 구하라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ko-KR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답이 여러 개 있다면 그중에서 땅의 높이가 가장 높은 것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을 출력</a:t>
          </a:r>
          <a:endParaRPr lang="ko-KR" altLang="ko-KR">
            <a:effectLst/>
          </a:endParaRP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문제 분석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endParaRPr lang="ko-KR" altLang="ko-KR">
            <a:effectLst/>
          </a:endParaRP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문제의 조건에 다음과 같은 부분을 보자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초기에 주어지는 땅의 높이는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 &lt;= h &lt;= 256 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로 주어지면</a:t>
          </a:r>
          <a:endParaRPr lang="ko-KR" altLang="ko-KR">
            <a:effectLst/>
          </a:endParaRPr>
        </a:p>
        <a:p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결과로 얻어지는 땅의 높이도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 &lt;= h &lt;= 256 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b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  500 * 500 * 256 = 64,000,000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이다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b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입력의 첫째 줄에 주어지는 인벤토리의 수가 아래와 같은 이유이다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b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첫째 줄에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N, M, B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가 주어진다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(1 ≤ M, N ≤ 500, 0 ≤ B ≤ 6.4 × 10</a:t>
          </a:r>
          <a:r>
            <a:rPr lang="en-US" altLang="ko-KR" sz="1100" b="0" i="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​7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ko-KR" altLang="ko-KR">
            <a:effectLst/>
          </a:endParaRPr>
        </a:p>
        <a:p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가능한 높이가 높게 땅을 평탄하게 하기위하여 어떻게 할 수 있을까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</a:t>
          </a:r>
        </a:p>
        <a:p>
          <a:endParaRPr lang="ko-KR" altLang="ko-KR">
            <a:effectLst/>
          </a:endParaRP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해법 연구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1]</a:t>
          </a:r>
          <a:endParaRPr lang="ko-KR" altLang="ko-KR">
            <a:effectLst/>
          </a:endParaRP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구하고자 하는 땅의 높이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ansH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는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 ~ 256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범위의 값이다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따라서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 ~ 256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범위에 대하여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500 * 500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모든 영역을 확인해 볼 수 있다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시간복잡도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O( N * M * 257) =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약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6425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만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...  1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 안에 실행된다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* input :  O(N *M)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* getAns : O(N * M * 257)</a:t>
          </a:r>
        </a:p>
        <a:p>
          <a:endParaRPr lang="en-US" altLang="ko-K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ko-KR" altLang="ko-KR">
            <a:effectLst/>
          </a:endParaRPr>
        </a:p>
        <a:p>
          <a:pPr eaLnBrk="1" fontAlgn="auto" latinLnBrk="0" hangingPunct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해법 연구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2]</a:t>
          </a:r>
          <a:endParaRPr lang="ko-KR" altLang="ko-KR">
            <a:effectLst/>
          </a:endParaRP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셀의 개수는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250,000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인데 각 셀이 갖는 높이의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257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가지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(0~256)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이다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같은 높이를 갖는 셀들을 한꺼번에 모아서 처리할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수 있다면  답을 구하는 시간복잡도는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O(257*257)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b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따라서 전체 시간복잡도는 입력받고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개수를 세는 시간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O(500*500)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이다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* input :  O(N *M)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* getAns : O(257* 257)</a:t>
          </a:r>
        </a:p>
        <a:p>
          <a:endParaRPr lang="en-US" altLang="ko-K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ko-KR" altLang="ko-KR">
            <a:effectLst/>
          </a:endParaRPr>
        </a:p>
        <a:p>
          <a:pPr eaLnBrk="1" fontAlgn="auto" latinLnBrk="0" hangingPunct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해법 연구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3]</a:t>
          </a:r>
          <a:endParaRPr lang="ko-KR" altLang="ko-KR">
            <a:effectLst/>
          </a:endParaRP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특정 높이가 가정되었을때의 비용을 한꺼번에 계산할 수 있다면</a:t>
          </a:r>
          <a:b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답을 구하는 시간복잡도는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O(257)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b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따라서 전체 시간복잡도는 입력받고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개수를 세는 시간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O(500*500)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* input :  O(N *M)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* getAns : O(257)</a:t>
          </a:r>
          <a:endParaRPr lang="ko-KR" altLang="ko-KR">
            <a:effectLst/>
          </a:endParaRPr>
        </a:p>
      </xdr:txBody>
    </xdr:sp>
    <xdr:clientData/>
  </xdr:twoCellAnchor>
  <xdr:twoCellAnchor>
    <xdr:from>
      <xdr:col>1</xdr:col>
      <xdr:colOff>1403805</xdr:colOff>
      <xdr:row>58</xdr:row>
      <xdr:rowOff>78922</xdr:rowOff>
    </xdr:from>
    <xdr:to>
      <xdr:col>3</xdr:col>
      <xdr:colOff>171451</xdr:colOff>
      <xdr:row>59</xdr:row>
      <xdr:rowOff>208644</xdr:rowOff>
    </xdr:to>
    <xdr:sp macro="" textlink="">
      <xdr:nvSpPr>
        <xdr:cNvPr id="3" name="설명선: 아래쪽 화살표 2">
          <a:extLst>
            <a:ext uri="{FF2B5EF4-FFF2-40B4-BE49-F238E27FC236}">
              <a16:creationId xmlns:a16="http://schemas.microsoft.com/office/drawing/2014/main" id="{E04076E6-458B-42E9-BCB8-7EA1B3FD80CF}"/>
            </a:ext>
          </a:extLst>
        </xdr:cNvPr>
        <xdr:cNvSpPr/>
      </xdr:nvSpPr>
      <xdr:spPr>
        <a:xfrm>
          <a:off x="1914345" y="12903382"/>
          <a:ext cx="1175566" cy="350702"/>
        </a:xfrm>
        <a:prstGeom prst="downArrow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prefixSum</a:t>
          </a:r>
        </a:p>
      </xdr:txBody>
    </xdr:sp>
    <xdr:clientData/>
  </xdr:twoCellAnchor>
  <xdr:twoCellAnchor>
    <xdr:from>
      <xdr:col>7</xdr:col>
      <xdr:colOff>218622</xdr:colOff>
      <xdr:row>57</xdr:row>
      <xdr:rowOff>141513</xdr:rowOff>
    </xdr:from>
    <xdr:to>
      <xdr:col>9</xdr:col>
      <xdr:colOff>116568</xdr:colOff>
      <xdr:row>58</xdr:row>
      <xdr:rowOff>206828</xdr:rowOff>
    </xdr:to>
    <xdr:sp macro="" textlink="">
      <xdr:nvSpPr>
        <xdr:cNvPr id="4" name="설명선: 아래쪽 화살표 3">
          <a:extLst>
            <a:ext uri="{FF2B5EF4-FFF2-40B4-BE49-F238E27FC236}">
              <a16:creationId xmlns:a16="http://schemas.microsoft.com/office/drawing/2014/main" id="{E6DD5BCE-35A1-4014-AF15-F911928F28F6}"/>
            </a:ext>
          </a:extLst>
        </xdr:cNvPr>
        <xdr:cNvSpPr/>
      </xdr:nvSpPr>
      <xdr:spPr>
        <a:xfrm>
          <a:off x="4264842" y="12744993"/>
          <a:ext cx="461826" cy="286295"/>
        </a:xfrm>
        <a:prstGeom prst="downArrowCallou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tgH</a:t>
          </a:r>
          <a:endParaRPr lang="ko-KR" altLang="en-US" sz="1100"/>
        </a:p>
      </xdr:txBody>
    </xdr:sp>
    <xdr:clientData/>
  </xdr:twoCellAnchor>
  <xdr:twoCellAnchor>
    <xdr:from>
      <xdr:col>4</xdr:col>
      <xdr:colOff>53975</xdr:colOff>
      <xdr:row>64</xdr:row>
      <xdr:rowOff>145143</xdr:rowOff>
    </xdr:from>
    <xdr:to>
      <xdr:col>24</xdr:col>
      <xdr:colOff>130562</xdr:colOff>
      <xdr:row>70</xdr:row>
      <xdr:rowOff>131990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D9DB0C1-65C5-453B-904F-84A534FE0A3C}"/>
            </a:ext>
          </a:extLst>
        </xdr:cNvPr>
        <xdr:cNvSpPr txBox="1"/>
      </xdr:nvSpPr>
      <xdr:spPr>
        <a:xfrm>
          <a:off x="3254375" y="14295483"/>
          <a:ext cx="5715387" cy="13127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* smallDiff = tgH * cnt[tgH] - sum[tgH] = 4*9 - 21 = 36 - 21 = 15</a:t>
          </a:r>
        </a:p>
        <a:p>
          <a:r>
            <a:rPr lang="en-US" altLang="ko-KR" sz="1100"/>
            <a:t>                  = </a:t>
          </a:r>
          <a:r>
            <a:rPr lang="ko-KR" altLang="en-US" sz="1100"/>
            <a:t>목표높이</a:t>
          </a:r>
          <a:r>
            <a:rPr lang="en-US" altLang="ko-KR" sz="1100"/>
            <a:t>*tgH</a:t>
          </a:r>
          <a:r>
            <a:rPr lang="ko-KR" altLang="en-US" sz="1100"/>
            <a:t>이하의 셀개수 </a:t>
          </a:r>
          <a:r>
            <a:rPr lang="en-US" altLang="ko-KR" sz="1100"/>
            <a:t>- tgH</a:t>
          </a:r>
          <a:r>
            <a:rPr lang="ko-KR" altLang="en-US" sz="1100"/>
            <a:t>이하의 높이의 합</a:t>
          </a:r>
          <a:endParaRPr lang="en-US" altLang="ko-KR" sz="1100"/>
        </a:p>
        <a:p>
          <a:endParaRPr lang="en-US" altLang="ko-KR" sz="1100"/>
        </a:p>
        <a:p>
          <a:r>
            <a:rPr lang="en-US" altLang="ko-KR" sz="1100"/>
            <a:t>* bigDiff</a:t>
          </a:r>
          <a:r>
            <a:rPr lang="en-US" altLang="ko-KR" sz="1100" baseline="0"/>
            <a:t> = (sum[8] - sum[tgH]) - tgH *( cnt[8] - cnt[tgH]) = (62-21) - 4*(15-9) = 41 - 24 = 17</a:t>
          </a:r>
        </a:p>
        <a:p>
          <a:r>
            <a:rPr lang="en-US" altLang="ko-KR" sz="1100" baseline="0"/>
            <a:t>                 = tgH</a:t>
          </a:r>
          <a:r>
            <a:rPr lang="ko-KR" altLang="en-US" sz="1100" baseline="0"/>
            <a:t>초과의 높이의 합 </a:t>
          </a:r>
          <a:r>
            <a:rPr lang="en-US" altLang="ko-KR" sz="1100" baseline="0"/>
            <a:t>-</a:t>
          </a:r>
          <a:r>
            <a:rPr lang="ko-KR" altLang="en-US" sz="1100" baseline="0"/>
            <a:t> 목표높이</a:t>
          </a:r>
          <a:r>
            <a:rPr lang="en-US" altLang="ko-KR" sz="1100" baseline="0"/>
            <a:t>*tgH</a:t>
          </a:r>
          <a:r>
            <a:rPr lang="ko-KR" altLang="en-US" sz="1100" baseline="0"/>
            <a:t>초과의 셀개수</a:t>
          </a:r>
          <a:endParaRPr lang="ko-KR" altLang="en-US" sz="1100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175260</xdr:colOff>
      <xdr:row>2</xdr:row>
      <xdr:rowOff>0</xdr:rowOff>
    </xdr:from>
    <xdr:to>
      <xdr:col>18</xdr:col>
      <xdr:colOff>38100</xdr:colOff>
      <xdr:row>12</xdr:row>
      <xdr:rowOff>15240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8F65A84-4538-4E63-8B00-0C1AF38335DD}"/>
            </a:ext>
          </a:extLst>
        </xdr:cNvPr>
        <xdr:cNvSpPr txBox="1"/>
      </xdr:nvSpPr>
      <xdr:spPr>
        <a:xfrm>
          <a:off x="685800" y="449580"/>
          <a:ext cx="8740140" cy="22250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문제 분석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endParaRPr lang="ko-KR" altLang="ko-KR">
            <a:effectLst/>
          </a:endParaRPr>
        </a:p>
        <a:p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모든 거북이가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'L'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로만 구성되어 있거나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'R'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로만 구성되어 있다면 에너지 변화는 없다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=&gt;1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번 그림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ko-KR" altLang="ko-KR">
            <a:effectLst/>
          </a:endParaRP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"RL"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 발견되는 경우만 고려하면 된다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"RL"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 발견되면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"RL"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의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'R'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왼쪽에 연속한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'R'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들의 점수합과</a:t>
          </a:r>
          <a:endParaRPr lang="ko-KR" altLang="ko-KR">
            <a:effectLst/>
          </a:endParaRP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"RL"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의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'L'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오른쪽에 연속한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'L'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들의 점수합에서만 에너지 감소가 발생한다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  =&gt; 2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번 그림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ko-KR" altLang="ko-KR">
            <a:effectLst/>
          </a:endParaRPr>
        </a:p>
        <a:p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문자열을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"RL"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 포함된 그룹단위로 나누어  점수를 구할 수 있다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2</xdr:row>
      <xdr:rowOff>7620</xdr:rowOff>
    </xdr:from>
    <xdr:to>
      <xdr:col>11</xdr:col>
      <xdr:colOff>108585</xdr:colOff>
      <xdr:row>10</xdr:row>
      <xdr:rowOff>17145</xdr:rowOff>
    </xdr:to>
    <xdr:pic>
      <xdr:nvPicPr>
        <xdr:cNvPr id="2" name="그림 1" descr="232cfe7ab5b94171a019aaab7e029358_1454494">
          <a:extLst>
            <a:ext uri="{FF2B5EF4-FFF2-40B4-BE49-F238E27FC236}">
              <a16:creationId xmlns:a16="http://schemas.microsoft.com/office/drawing/2014/main" id="{95C35D2B-E04B-4CE7-BCFF-7FABFBB1C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135" y="457200"/>
          <a:ext cx="2289810" cy="1777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198120</xdr:colOff>
      <xdr:row>1</xdr:row>
      <xdr:rowOff>171450</xdr:rowOff>
    </xdr:from>
    <xdr:to>
      <xdr:col>33</xdr:col>
      <xdr:colOff>304800</xdr:colOff>
      <xdr:row>16</xdr:row>
      <xdr:rowOff>167640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23EFC0D-A07D-4887-86F1-0B4AEDDF86DC}"/>
            </a:ext>
          </a:extLst>
        </xdr:cNvPr>
        <xdr:cNvSpPr txBox="1"/>
      </xdr:nvSpPr>
      <xdr:spPr>
        <a:xfrm>
          <a:off x="3299460" y="400050"/>
          <a:ext cx="5196840" cy="33108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해결 전략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높이를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H,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너비를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라고 하고 이동횟수를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라고 하자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개미가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(p,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q)</a:t>
          </a:r>
          <a:r>
            <a:rPr lang="ko-KR" alt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로부터 이동할 때 좌표의 움직임을 계산해야 한다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ko-KR" alt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이동한 좌표를 계산하는데  </a:t>
          </a:r>
          <a:r>
            <a:rPr lang="ko-KR" altLang="en-US" sz="1100" b="1">
              <a:solidFill>
                <a:schemeClr val="accent5"/>
              </a:solidFill>
              <a:effectLst/>
              <a:latin typeface="+mn-lt"/>
              <a:ea typeface="+mn-ea"/>
              <a:cs typeface="+mn-cs"/>
            </a:rPr>
            <a:t>각 좌표를 독립적으로 생각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할 수 있다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열 좌표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는</a:t>
          </a:r>
          <a:endParaRPr lang="en-US" altLang="ko-K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:  0 ~ W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사이를 움직이며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2*W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주기를 갖는다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: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따라서 이동수 열 좌표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는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(p + t) % (2*W)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가 된다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이때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p&gt; W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인 경우라면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으로 부터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까지 갔다고 돌아오는 중이므로</a:t>
          </a:r>
          <a:endParaRPr lang="en-US" altLang="ko-K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p = 2*W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p</a:t>
          </a:r>
          <a:r>
            <a:rPr lang="ko-KR" alt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가 최종 좌표가 된다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 : 0 ~ H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사이를 움직이며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2*H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주기를 갖는다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열좌표와 마찬가지로 생각할 수 있다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: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q = (q + t) % (2*H)</a:t>
          </a:r>
        </a:p>
        <a:p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if(q &gt; H) q = 2 * H - q;</a:t>
          </a:r>
          <a:endParaRPr lang="ko-KR" alt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198211</xdr:colOff>
      <xdr:row>2</xdr:row>
      <xdr:rowOff>114299</xdr:rowOff>
    </xdr:from>
    <xdr:to>
      <xdr:col>22</xdr:col>
      <xdr:colOff>68490</xdr:colOff>
      <xdr:row>26</xdr:row>
      <xdr:rowOff>137809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F5104D-1CE9-4009-94C3-552A4A8753E7}"/>
            </a:ext>
          </a:extLst>
        </xdr:cNvPr>
        <xdr:cNvSpPr txBox="1"/>
      </xdr:nvSpPr>
      <xdr:spPr>
        <a:xfrm>
          <a:off x="533491" y="647699"/>
          <a:ext cx="7095944" cy="642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[</a:t>
          </a:r>
          <a:r>
            <a:rPr lang="ko-KR" altLang="en-US" sz="1100"/>
            <a:t>문제 개요</a:t>
          </a:r>
          <a:r>
            <a:rPr lang="en-US" altLang="ko-KR" sz="1100"/>
            <a:t>]</a:t>
          </a:r>
        </a:p>
        <a:p>
          <a:r>
            <a:rPr lang="en-US" altLang="ko-KR" sz="1100" baseline="0"/>
            <a:t>1. </a:t>
          </a:r>
          <a:r>
            <a:rPr lang="en-US" altLang="ko-KR" sz="1100"/>
            <a:t> N</a:t>
          </a:r>
          <a:r>
            <a:rPr lang="en-US" altLang="ko-KR" sz="1100" baseline="0"/>
            <a:t> * N(10000) </a:t>
          </a:r>
          <a:r>
            <a:rPr lang="ko-KR" altLang="en-US" sz="1100" baseline="0"/>
            <a:t>의 격자판에 </a:t>
          </a:r>
          <a:r>
            <a:rPr lang="en-US" altLang="ko-KR" sz="1100" baseline="0"/>
            <a:t>M(100000)</a:t>
          </a:r>
          <a:r>
            <a:rPr lang="ko-KR" altLang="en-US" sz="1100" baseline="0"/>
            <a:t>개의 점이 주어진다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2. </a:t>
          </a:r>
          <a:r>
            <a:rPr lang="ko-KR" altLang="en-US" sz="1100" baseline="0"/>
            <a:t>격자판 내의 한 사각형</a:t>
          </a:r>
          <a:r>
            <a:rPr lang="en-US" altLang="ko-KR" sz="1100" baseline="0"/>
            <a:t>(</a:t>
          </a:r>
          <a:r>
            <a:rPr lang="ko-KR" altLang="en-US" sz="1100" baseline="0"/>
            <a:t>셀</a:t>
          </a:r>
          <a:r>
            <a:rPr lang="en-US" altLang="ko-KR" sz="1100" baseline="0"/>
            <a:t>)</a:t>
          </a:r>
          <a:r>
            <a:rPr lang="ko-KR" altLang="en-US" sz="1100" baseline="0"/>
            <a:t>으로 모든점을 모을때</a:t>
          </a:r>
          <a:r>
            <a:rPr lang="en-US" altLang="ko-KR" sz="1100" baseline="0"/>
            <a:t>, </a:t>
          </a:r>
          <a:br>
            <a:rPr lang="en-US" altLang="ko-KR" sz="1100" baseline="0"/>
          </a:br>
          <a:r>
            <a:rPr lang="en-US" altLang="ko-KR" sz="1100" baseline="0"/>
            <a:t>    </a:t>
          </a:r>
          <a:r>
            <a:rPr lang="ko-KR" altLang="en-US" sz="1100" baseline="0"/>
            <a:t>이동거리</a:t>
          </a:r>
          <a:r>
            <a:rPr lang="en-US" altLang="ko-KR" sz="1100" baseline="0"/>
            <a:t>(taxicap distance)</a:t>
          </a:r>
          <a:r>
            <a:rPr lang="ko-KR" altLang="en-US" sz="1100" baseline="0"/>
            <a:t> 합의 최소합을 구하시오</a:t>
          </a:r>
          <a:r>
            <a:rPr lang="en-US" altLang="ko-KR" sz="1100" baseline="0"/>
            <a:t>.</a:t>
          </a:r>
        </a:p>
        <a:p>
          <a:endParaRPr lang="en-US" altLang="ko-KR" sz="1100" baseline="0"/>
        </a:p>
        <a:p>
          <a:r>
            <a:rPr lang="en-US" altLang="ko-KR" sz="1100" baseline="0"/>
            <a:t>[</a:t>
          </a:r>
          <a:r>
            <a:rPr lang="ko-KR" altLang="en-US" sz="1100" baseline="0"/>
            <a:t>문제 분석</a:t>
          </a:r>
          <a:r>
            <a:rPr lang="en-US" altLang="ko-KR" sz="1100" baseline="0"/>
            <a:t>]</a:t>
          </a:r>
        </a:p>
        <a:p>
          <a:r>
            <a:rPr lang="en-US" altLang="ko-KR" sz="1100" baseline="0"/>
            <a:t>1.</a:t>
          </a:r>
          <a:r>
            <a:rPr lang="ko-KR" altLang="en-US" sz="1100" baseline="0"/>
            <a:t>이동거리의 합은 한 기준점이 결정되어 </a:t>
          </a:r>
          <a:r>
            <a:rPr lang="en-US" altLang="ko-KR" sz="1100" baseline="0"/>
            <a:t> B(R, C) </a:t>
          </a:r>
          <a:r>
            <a:rPr lang="ko-KR" altLang="en-US" sz="1100" baseline="0"/>
            <a:t>라고 하자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2. </a:t>
          </a:r>
          <a:r>
            <a:rPr lang="ko-KR" altLang="en-US" sz="1100" baseline="0"/>
            <a:t>이동하는 각점들을 </a:t>
          </a:r>
          <a:r>
            <a:rPr lang="en-US" altLang="ko-KR" sz="1100" baseline="0"/>
            <a:t>P(ri, ci)</a:t>
          </a:r>
          <a:r>
            <a:rPr lang="ko-KR" altLang="en-US" sz="1100" baseline="0"/>
            <a:t>라고 하자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3. answer</a:t>
          </a:r>
          <a:r>
            <a:rPr lang="ko-KR" altLang="en-US" sz="1100" baseline="0"/>
            <a:t> </a:t>
          </a:r>
          <a:r>
            <a:rPr lang="en-US" altLang="ko-KR" sz="1100" baseline="0"/>
            <a:t>= abs(R-r1) + abs(C-c1)  +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abs(R-r2) + abs(C-c2) + ... + abs(R-rn) + abs(C-cn)</a:t>
          </a: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B(R, C)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결정하기 위하여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N*N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개의 모든 사각형을 후보로 하는 경우</a:t>
          </a:r>
          <a:endParaRPr lang="en-US" altLang="ko-K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시간복잡도는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O(M * N</a:t>
          </a:r>
          <a:r>
            <a:rPr lang="en-US" altLang="ko-K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 된다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어떻게 할 것인가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</a:t>
          </a:r>
        </a:p>
        <a:p>
          <a:endParaRPr lang="en-US" altLang="ko-K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해법 연구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/>
            <a:t>1.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answer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 abs(R-r1) + </a:t>
          </a: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abs(C-c1) 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 abs(R-r2) + </a:t>
          </a: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abs(C-c2)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 ... + abs(R-rn) + </a:t>
          </a: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abs(C-cn)</a:t>
          </a:r>
          <a:endParaRPr lang="ko-KR" altLang="ko-KR">
            <a:solidFill>
              <a:srgbClr val="FF0000"/>
            </a:solidFill>
            <a:effectLst/>
          </a:endParaRPr>
        </a:p>
        <a:p>
          <a:r>
            <a:rPr lang="en-US" altLang="ko-KR" sz="1100" baseline="0"/>
            <a:t>     </a:t>
          </a:r>
          <a:r>
            <a:rPr lang="ko-KR" altLang="en-US" sz="1100" baseline="0"/>
            <a:t>식을 적절히 바꾸어 보면</a:t>
          </a:r>
          <a:r>
            <a:rPr lang="en-US" altLang="ko-KR" sz="1100" baseline="0"/>
            <a:t>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/>
            <a:t>   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answer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 abs(R-r1) + abs(R-r2) + ... + abs(R-rn) + </a:t>
          </a:r>
          <a:r>
            <a:rPr lang="en-US" altLang="ko-K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abs(C-c1)  + abs(C-c2) + ... + abs(C-cn)</a:t>
          </a:r>
          <a:endParaRPr lang="ko-KR" altLang="ko-KR">
            <a:solidFill>
              <a:srgbClr val="FF0000"/>
            </a:solidFill>
            <a:effectLst/>
          </a:endParaRPr>
        </a:p>
        <a:p>
          <a:r>
            <a:rPr lang="en-US" altLang="ko-KR" sz="1100" baseline="0"/>
            <a:t>    </a:t>
          </a:r>
          <a:r>
            <a:rPr lang="ko-KR" altLang="en-US" sz="1100" baseline="0"/>
            <a:t>행 좌표는 행좌표끼리</a:t>
          </a:r>
          <a:r>
            <a:rPr lang="en-US" altLang="ko-KR" sz="1100" baseline="0"/>
            <a:t>, </a:t>
          </a:r>
          <a:r>
            <a:rPr lang="ko-KR" altLang="en-US" sz="1100" baseline="0"/>
            <a:t>열좌표는 열좌표끼리 계산한 후 더하면 된다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2. </a:t>
          </a:r>
          <a:r>
            <a:rPr lang="ko-KR" altLang="en-US" sz="1100" baseline="0"/>
            <a:t>위 식에서 </a:t>
          </a:r>
          <a:r>
            <a:rPr lang="en-US" altLang="ko-KR" sz="1100" baseline="0"/>
            <a:t>r1, r2,...rn </a:t>
          </a:r>
          <a:r>
            <a:rPr lang="ko-KR" altLang="en-US" sz="1100" baseline="0"/>
            <a:t>그리고 </a:t>
          </a:r>
          <a:r>
            <a:rPr lang="en-US" altLang="ko-KR" sz="1100" baseline="0"/>
            <a:t>c1, c2, ..., cn</a:t>
          </a:r>
          <a:r>
            <a:rPr lang="ko-KR" altLang="en-US" sz="1100" baseline="0"/>
            <a:t>은 변하지 않는다</a:t>
          </a:r>
          <a:r>
            <a:rPr lang="en-US" altLang="ko-KR" sz="1100" baseline="0"/>
            <a:t>. </a:t>
          </a:r>
        </a:p>
        <a:p>
          <a:r>
            <a:rPr lang="en-US" altLang="ko-KR" sz="1100" baseline="0"/>
            <a:t>     B(R, C) </a:t>
          </a:r>
          <a:r>
            <a:rPr lang="ko-KR" altLang="en-US" sz="1100" baseline="0"/>
            <a:t>에서 </a:t>
          </a:r>
          <a:r>
            <a:rPr lang="en-US" altLang="ko-KR" sz="1100" baseline="0"/>
            <a:t>R</a:t>
          </a:r>
          <a:r>
            <a:rPr lang="ko-KR" altLang="en-US" sz="1100" baseline="0"/>
            <a:t>과 </a:t>
          </a:r>
          <a:r>
            <a:rPr lang="en-US" altLang="ko-KR" sz="1100" baseline="0"/>
            <a:t>C</a:t>
          </a:r>
          <a:r>
            <a:rPr lang="ko-KR" altLang="en-US" sz="1100" baseline="0"/>
            <a:t>를 구한후 </a:t>
          </a:r>
          <a:r>
            <a:rPr lang="en-US" altLang="ko-KR" sz="1100" baseline="0"/>
            <a:t>answer</a:t>
          </a:r>
          <a:r>
            <a:rPr lang="ko-KR" altLang="en-US" sz="1100" baseline="0"/>
            <a:t>을 얻을 수 있다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     R</a:t>
          </a:r>
          <a:r>
            <a:rPr lang="ko-KR" altLang="en-US" sz="1100" baseline="0"/>
            <a:t>과 </a:t>
          </a:r>
          <a:r>
            <a:rPr lang="en-US" altLang="ko-KR" sz="1100" baseline="0"/>
            <a:t>C</a:t>
          </a:r>
          <a:r>
            <a:rPr lang="ko-KR" altLang="en-US" sz="1100" baseline="0"/>
            <a:t>는 독립적으로 구할 수 있다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3. </a:t>
          </a:r>
          <a:r>
            <a:rPr lang="ko-KR" altLang="en-US" sz="1100" baseline="0"/>
            <a:t>그렇다면 일차원 문제로 바꾸어 해결할 수 있다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    </a:t>
          </a:r>
          <a:r>
            <a:rPr lang="ko-KR" altLang="en-US" sz="1100" baseline="0"/>
            <a:t>일차원 좌표가 주어질 때</a:t>
          </a:r>
          <a:r>
            <a:rPr lang="en-US" altLang="ko-KR" sz="1100" baseline="0"/>
            <a:t>, </a:t>
          </a:r>
          <a:r>
            <a:rPr lang="ko-KR" altLang="en-US" sz="1100" baseline="0"/>
            <a:t>이동거리의 합이 최소가 되는 지점은 어떻게 될까</a:t>
          </a:r>
          <a:r>
            <a:rPr lang="en-US" altLang="ko-KR" sz="1100" baseline="0"/>
            <a:t>?</a:t>
          </a:r>
        </a:p>
        <a:p>
          <a:r>
            <a:rPr lang="en-US" altLang="ko-KR" sz="1100" baseline="0"/>
            <a:t>     </a:t>
          </a:r>
          <a:r>
            <a:rPr lang="ko-KR" altLang="en-US" sz="1100" baseline="0"/>
            <a:t>중앙값</a:t>
          </a:r>
          <a:r>
            <a:rPr lang="en-US" altLang="ko-KR" sz="1100" baseline="0"/>
            <a:t>(median)</a:t>
          </a:r>
          <a:r>
            <a:rPr lang="ko-KR" altLang="en-US" sz="1100" baseline="0"/>
            <a:t>이 답이 된다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4. (</a:t>
          </a:r>
          <a:r>
            <a:rPr lang="ko-KR" altLang="en-US" sz="1100" baseline="0"/>
            <a:t>행</a:t>
          </a:r>
          <a:r>
            <a:rPr lang="en-US" altLang="ko-KR" sz="1100" baseline="0"/>
            <a:t>, </a:t>
          </a:r>
          <a:r>
            <a:rPr lang="ko-KR" altLang="en-US" sz="1100" baseline="0"/>
            <a:t>열</a:t>
          </a:r>
          <a:r>
            <a:rPr lang="en-US" altLang="ko-KR" sz="1100" baseline="0"/>
            <a:t>) </a:t>
          </a:r>
          <a:r>
            <a:rPr lang="ko-KR" altLang="en-US" sz="1100" baseline="0"/>
            <a:t>좌표를 분리하여 행에서의 중앙값을 찾아 이동거리의 합을 구하고</a:t>
          </a:r>
          <a:br>
            <a:rPr lang="en-US" altLang="ko-KR" sz="1100" baseline="0"/>
          </a:br>
          <a:r>
            <a:rPr lang="en-US" altLang="ko-KR" sz="1100" baseline="0"/>
            <a:t>    </a:t>
          </a:r>
          <a:r>
            <a:rPr lang="ko-KR" altLang="en-US" sz="1100" baseline="0"/>
            <a:t>열에서의 중앙값을 찾아 이동거리의 합을 구하여 더한값이 답이 된다</a:t>
          </a:r>
          <a:r>
            <a:rPr lang="en-US" altLang="ko-KR" sz="1100" baseline="0"/>
            <a:t>.</a:t>
          </a:r>
        </a:p>
        <a:p>
          <a:endParaRPr lang="en-US" altLang="ko-KR" sz="1100" baseline="0"/>
        </a:p>
        <a:p>
          <a:r>
            <a:rPr lang="en-US" altLang="ko-KR" sz="1100" baseline="0"/>
            <a:t>* Taxicab distance : median</a:t>
          </a:r>
        </a:p>
        <a:p>
          <a:r>
            <a:rPr lang="en-US" altLang="ko-KR" sz="1100" baseline="0"/>
            <a:t>* Euclidian distance : avg</a:t>
          </a:r>
          <a:endParaRPr lang="ko-KR" altLang="en-US" sz="1100"/>
        </a:p>
      </xdr:txBody>
    </xdr:sp>
    <xdr:clientData/>
  </xdr:twoCellAnchor>
  <xdr:twoCellAnchor>
    <xdr:from>
      <xdr:col>5</xdr:col>
      <xdr:colOff>327367</xdr:colOff>
      <xdr:row>39</xdr:row>
      <xdr:rowOff>2932</xdr:rowOff>
    </xdr:from>
    <xdr:to>
      <xdr:col>7</xdr:col>
      <xdr:colOff>10691</xdr:colOff>
      <xdr:row>40</xdr:row>
      <xdr:rowOff>78442</xdr:rowOff>
    </xdr:to>
    <xdr:sp macro="" textlink="">
      <xdr:nvSpPr>
        <xdr:cNvPr id="3" name="설명선: 위쪽 화살표 6">
          <a:extLst>
            <a:ext uri="{FF2B5EF4-FFF2-40B4-BE49-F238E27FC236}">
              <a16:creationId xmlns:a16="http://schemas.microsoft.com/office/drawing/2014/main" id="{7946B918-C210-421E-A7D0-C3F215EC5ED7}"/>
            </a:ext>
          </a:extLst>
        </xdr:cNvPr>
        <xdr:cNvSpPr/>
      </xdr:nvSpPr>
      <xdr:spPr>
        <a:xfrm>
          <a:off x="3386573" y="8743520"/>
          <a:ext cx="512559" cy="299628"/>
        </a:xfrm>
        <a:prstGeom prst="upArrow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x</a:t>
          </a:r>
          <a:endParaRPr lang="ko-KR" altLang="en-US" sz="1100"/>
        </a:p>
      </xdr:txBody>
    </xdr:sp>
    <xdr:clientData/>
  </xdr:twoCellAnchor>
  <xdr:twoCellAnchor>
    <xdr:from>
      <xdr:col>7</xdr:col>
      <xdr:colOff>67651</xdr:colOff>
      <xdr:row>38</xdr:row>
      <xdr:rowOff>263770</xdr:rowOff>
    </xdr:from>
    <xdr:to>
      <xdr:col>8</xdr:col>
      <xdr:colOff>79368</xdr:colOff>
      <xdr:row>40</xdr:row>
      <xdr:rowOff>98240</xdr:rowOff>
    </xdr:to>
    <xdr:sp macro="" textlink="">
      <xdr:nvSpPr>
        <xdr:cNvPr id="4" name="설명선: 위쪽 화살표 7">
          <a:extLst>
            <a:ext uri="{FF2B5EF4-FFF2-40B4-BE49-F238E27FC236}">
              <a16:creationId xmlns:a16="http://schemas.microsoft.com/office/drawing/2014/main" id="{CA6BCF2C-090B-49D1-98C0-F04F7506BE6A}"/>
            </a:ext>
          </a:extLst>
        </xdr:cNvPr>
        <xdr:cNvSpPr/>
      </xdr:nvSpPr>
      <xdr:spPr>
        <a:xfrm>
          <a:off x="2399371" y="10398370"/>
          <a:ext cx="346997" cy="364060"/>
        </a:xfrm>
        <a:prstGeom prst="upArrow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x</a:t>
          </a:r>
          <a:endParaRPr lang="ko-KR" altLang="en-US" sz="1100"/>
        </a:p>
      </xdr:txBody>
    </xdr:sp>
    <xdr:clientData/>
  </xdr:twoCellAnchor>
  <xdr:twoCellAnchor>
    <xdr:from>
      <xdr:col>13</xdr:col>
      <xdr:colOff>234522</xdr:colOff>
      <xdr:row>28</xdr:row>
      <xdr:rowOff>70143</xdr:rowOff>
    </xdr:from>
    <xdr:to>
      <xdr:col>24</xdr:col>
      <xdr:colOff>191587</xdr:colOff>
      <xdr:row>32</xdr:row>
      <xdr:rowOff>110153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4EA3C8A-37C3-49FD-A388-C9FE2F4F04A2}"/>
            </a:ext>
          </a:extLst>
        </xdr:cNvPr>
        <xdr:cNvSpPr txBox="1"/>
      </xdr:nvSpPr>
      <xdr:spPr>
        <a:xfrm>
          <a:off x="6610669" y="6345437"/>
          <a:ext cx="4517859" cy="93648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7</a:t>
          </a:r>
          <a:r>
            <a:rPr lang="ko-KR" altLang="en-US" sz="1100"/>
            <a:t>명의 친구들이 수직선 상에 아래와 같은 위치에 산다</a:t>
          </a:r>
          <a:r>
            <a:rPr lang="en-US" altLang="ko-KR" sz="1100"/>
            <a:t>.</a:t>
          </a:r>
        </a:p>
        <a:p>
          <a:r>
            <a:rPr lang="ko-KR" altLang="en-US" sz="1100"/>
            <a:t>한 친구집에 모일 때</a:t>
          </a:r>
          <a:r>
            <a:rPr lang="en-US" altLang="ko-KR" sz="1100"/>
            <a:t>, </a:t>
          </a:r>
          <a:r>
            <a:rPr lang="ko-KR" altLang="en-US" sz="1100"/>
            <a:t>이동거리의 합이 최소가 되는</a:t>
          </a:r>
          <a:endParaRPr lang="en-US" altLang="ko-KR" sz="1100"/>
        </a:p>
        <a:p>
          <a:r>
            <a:rPr lang="ko-KR" altLang="en-US" sz="1100"/>
            <a:t>친구의 집은</a:t>
          </a:r>
          <a:r>
            <a:rPr lang="en-US" altLang="ko-KR" sz="1100"/>
            <a:t>?   </a:t>
          </a:r>
          <a:r>
            <a:rPr lang="ko-KR" altLang="en-US" sz="1100" b="1">
              <a:solidFill>
                <a:schemeClr val="bg1">
                  <a:lumMod val="85000"/>
                </a:schemeClr>
              </a:solidFill>
            </a:rPr>
            <a:t>중앙값</a:t>
          </a:r>
          <a:r>
            <a:rPr lang="en-US" altLang="ko-KR" sz="1100" b="1">
              <a:solidFill>
                <a:schemeClr val="bg1">
                  <a:lumMod val="85000"/>
                </a:schemeClr>
              </a:solidFill>
            </a:rPr>
            <a:t>(median)</a:t>
          </a:r>
          <a:endParaRPr lang="ko-KR" altLang="en-US" sz="1100" b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3</xdr:col>
      <xdr:colOff>287777</xdr:colOff>
      <xdr:row>44</xdr:row>
      <xdr:rowOff>262579</xdr:rowOff>
    </xdr:from>
    <xdr:to>
      <xdr:col>7</xdr:col>
      <xdr:colOff>67148</xdr:colOff>
      <xdr:row>46</xdr:row>
      <xdr:rowOff>62554</xdr:rowOff>
    </xdr:to>
    <xdr:sp macro="" textlink="">
      <xdr:nvSpPr>
        <xdr:cNvPr id="6" name="설명선: 아래쪽 화살표 9">
          <a:extLst>
            <a:ext uri="{FF2B5EF4-FFF2-40B4-BE49-F238E27FC236}">
              <a16:creationId xmlns:a16="http://schemas.microsoft.com/office/drawing/2014/main" id="{276BC9B2-25BC-48B5-BAC4-97F73D386DF8}"/>
            </a:ext>
          </a:extLst>
        </xdr:cNvPr>
        <xdr:cNvSpPr/>
      </xdr:nvSpPr>
      <xdr:spPr>
        <a:xfrm>
          <a:off x="1284092" y="11995474"/>
          <a:ext cx="1114776" cy="331470"/>
        </a:xfrm>
        <a:prstGeom prst="downArrow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median</a:t>
          </a:r>
        </a:p>
      </xdr:txBody>
    </xdr:sp>
    <xdr:clientData/>
  </xdr:twoCellAnchor>
  <xdr:twoCellAnchor>
    <xdr:from>
      <xdr:col>12</xdr:col>
      <xdr:colOff>316149</xdr:colOff>
      <xdr:row>42</xdr:row>
      <xdr:rowOff>85117</xdr:rowOff>
    </xdr:from>
    <xdr:to>
      <xdr:col>20</xdr:col>
      <xdr:colOff>117543</xdr:colOff>
      <xdr:row>44</xdr:row>
      <xdr:rowOff>123892</xdr:rowOff>
    </xdr:to>
    <xdr:sp macro="" textlink="">
      <xdr:nvSpPr>
        <xdr:cNvPr id="7" name="설명선: 왼쪽 화살표 10">
          <a:extLst>
            <a:ext uri="{FF2B5EF4-FFF2-40B4-BE49-F238E27FC236}">
              <a16:creationId xmlns:a16="http://schemas.microsoft.com/office/drawing/2014/main" id="{FCA8186A-B6C8-4D08-AC40-58C885B2A176}"/>
            </a:ext>
          </a:extLst>
        </xdr:cNvPr>
        <xdr:cNvSpPr/>
      </xdr:nvSpPr>
      <xdr:spPr>
        <a:xfrm>
          <a:off x="4547154" y="11288422"/>
          <a:ext cx="2466489" cy="572175"/>
        </a:xfrm>
        <a:prstGeom prst="leftArrowCallout">
          <a:avLst>
            <a:gd name="adj1" fmla="val 25000"/>
            <a:gd name="adj2" fmla="val 25000"/>
            <a:gd name="adj3" fmla="val 25000"/>
            <a:gd name="adj4" fmla="val 8442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정렬 </a:t>
          </a:r>
          <a:r>
            <a:rPr lang="en-US" altLang="ko-KR" sz="1100"/>
            <a:t>1</a:t>
          </a:r>
          <a:r>
            <a:rPr lang="ko-KR" altLang="en-US" sz="1100"/>
            <a:t>안</a:t>
          </a:r>
          <a:r>
            <a:rPr lang="en-US" altLang="ko-KR" sz="1100"/>
            <a:t>. merge_sort</a:t>
          </a:r>
          <a:endParaRPr lang="ko-KR" altLang="en-US" sz="1100"/>
        </a:p>
      </xdr:txBody>
    </xdr:sp>
    <xdr:clientData/>
  </xdr:twoCellAnchor>
  <xdr:twoCellAnchor>
    <xdr:from>
      <xdr:col>12</xdr:col>
      <xdr:colOff>312974</xdr:colOff>
      <xdr:row>46</xdr:row>
      <xdr:rowOff>72080</xdr:rowOff>
    </xdr:from>
    <xdr:to>
      <xdr:col>20</xdr:col>
      <xdr:colOff>120718</xdr:colOff>
      <xdr:row>48</xdr:row>
      <xdr:rowOff>104505</xdr:rowOff>
    </xdr:to>
    <xdr:sp macro="" textlink="">
      <xdr:nvSpPr>
        <xdr:cNvPr id="8" name="설명선: 왼쪽 화살표 11">
          <a:extLst>
            <a:ext uri="{FF2B5EF4-FFF2-40B4-BE49-F238E27FC236}">
              <a16:creationId xmlns:a16="http://schemas.microsoft.com/office/drawing/2014/main" id="{DD8E66B9-73A1-4DEC-9F13-36D403F470E8}"/>
            </a:ext>
          </a:extLst>
        </xdr:cNvPr>
        <xdr:cNvSpPr/>
      </xdr:nvSpPr>
      <xdr:spPr>
        <a:xfrm>
          <a:off x="4543979" y="12338375"/>
          <a:ext cx="2474744" cy="565825"/>
        </a:xfrm>
        <a:prstGeom prst="leftArrowCallout">
          <a:avLst>
            <a:gd name="adj1" fmla="val 25000"/>
            <a:gd name="adj2" fmla="val 25000"/>
            <a:gd name="adj3" fmla="val 25000"/>
            <a:gd name="adj4" fmla="val 8442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정렬 </a:t>
          </a:r>
          <a:r>
            <a:rPr lang="en-US" altLang="ko-KR" sz="1100"/>
            <a:t>2</a:t>
          </a:r>
          <a:r>
            <a:rPr lang="ko-KR" altLang="en-US" sz="1100"/>
            <a:t>안</a:t>
          </a:r>
          <a:r>
            <a:rPr lang="en-US" altLang="ko-KR" sz="1100"/>
            <a:t>. counting_sort</a:t>
          </a:r>
          <a:endParaRPr lang="ko-KR" altLang="en-US" sz="1100"/>
        </a:p>
      </xdr:txBody>
    </xdr:sp>
    <xdr:clientData/>
  </xdr:twoCellAnchor>
  <xdr:twoCellAnchor>
    <xdr:from>
      <xdr:col>6</xdr:col>
      <xdr:colOff>32657</xdr:colOff>
      <xdr:row>30</xdr:row>
      <xdr:rowOff>21771</xdr:rowOff>
    </xdr:from>
    <xdr:to>
      <xdr:col>7</xdr:col>
      <xdr:colOff>16329</xdr:colOff>
      <xdr:row>31</xdr:row>
      <xdr:rowOff>76199</xdr:rowOff>
    </xdr:to>
    <xdr:sp macro="" textlink="">
      <xdr:nvSpPr>
        <xdr:cNvPr id="9" name="아래쪽 화살표 설명선 14">
          <a:extLst>
            <a:ext uri="{FF2B5EF4-FFF2-40B4-BE49-F238E27FC236}">
              <a16:creationId xmlns:a16="http://schemas.microsoft.com/office/drawing/2014/main" id="{234FC168-2831-40D1-AF37-705069D3E40C}"/>
            </a:ext>
          </a:extLst>
        </xdr:cNvPr>
        <xdr:cNvSpPr/>
      </xdr:nvSpPr>
      <xdr:spPr>
        <a:xfrm>
          <a:off x="2031002" y="8018961"/>
          <a:ext cx="322762" cy="324938"/>
        </a:xfrm>
        <a:prstGeom prst="downArrow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x</a:t>
          </a:r>
          <a:endParaRPr lang="ko-KR" altLang="en-US" sz="1100"/>
        </a:p>
      </xdr:txBody>
    </xdr:sp>
    <xdr:clientData/>
  </xdr:twoCellAnchor>
  <xdr:twoCellAnchor>
    <xdr:from>
      <xdr:col>4</xdr:col>
      <xdr:colOff>277584</xdr:colOff>
      <xdr:row>28</xdr:row>
      <xdr:rowOff>206827</xdr:rowOff>
    </xdr:from>
    <xdr:to>
      <xdr:col>5</xdr:col>
      <xdr:colOff>332013</xdr:colOff>
      <xdr:row>31</xdr:row>
      <xdr:rowOff>43542</xdr:rowOff>
    </xdr:to>
    <xdr:sp macro="" textlink="">
      <xdr:nvSpPr>
        <xdr:cNvPr id="10" name="아래쪽 화살표 설명선 15">
          <a:extLst>
            <a:ext uri="{FF2B5EF4-FFF2-40B4-BE49-F238E27FC236}">
              <a16:creationId xmlns:a16="http://schemas.microsoft.com/office/drawing/2014/main" id="{BE7FD51C-BC22-4E18-83D0-1F2CAD4FFFED}"/>
            </a:ext>
          </a:extLst>
        </xdr:cNvPr>
        <xdr:cNvSpPr/>
      </xdr:nvSpPr>
      <xdr:spPr>
        <a:xfrm>
          <a:off x="1612989" y="7678237"/>
          <a:ext cx="383994" cy="634910"/>
        </a:xfrm>
        <a:prstGeom prst="downArrowCallout">
          <a:avLst>
            <a:gd name="adj1" fmla="val 25000"/>
            <a:gd name="adj2" fmla="val 25000"/>
            <a:gd name="adj3" fmla="val 25000"/>
            <a:gd name="adj4" fmla="val 37626"/>
          </a:avLst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altLang="ko-KR" sz="1100">
              <a:solidFill>
                <a:schemeClr val="lt1"/>
              </a:solidFill>
              <a:latin typeface="+mn-lt"/>
              <a:ea typeface="+mn-ea"/>
              <a:cs typeface="+mn-cs"/>
            </a:rPr>
            <a:t>x+3</a:t>
          </a:r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21770</xdr:colOff>
      <xdr:row>28</xdr:row>
      <xdr:rowOff>206827</xdr:rowOff>
    </xdr:from>
    <xdr:to>
      <xdr:col>8</xdr:col>
      <xdr:colOff>76199</xdr:colOff>
      <xdr:row>31</xdr:row>
      <xdr:rowOff>43542</xdr:rowOff>
    </xdr:to>
    <xdr:sp macro="" textlink="">
      <xdr:nvSpPr>
        <xdr:cNvPr id="11" name="아래쪽 화살표 설명선 16">
          <a:extLst>
            <a:ext uri="{FF2B5EF4-FFF2-40B4-BE49-F238E27FC236}">
              <a16:creationId xmlns:a16="http://schemas.microsoft.com/office/drawing/2014/main" id="{5CEB69E1-C16A-4B56-A05D-29E18204182E}"/>
            </a:ext>
          </a:extLst>
        </xdr:cNvPr>
        <xdr:cNvSpPr/>
      </xdr:nvSpPr>
      <xdr:spPr>
        <a:xfrm>
          <a:off x="2351585" y="7678237"/>
          <a:ext cx="391614" cy="634910"/>
        </a:xfrm>
        <a:prstGeom prst="downArrowCallout">
          <a:avLst>
            <a:gd name="adj1" fmla="val 25000"/>
            <a:gd name="adj2" fmla="val 25000"/>
            <a:gd name="adj3" fmla="val 25000"/>
            <a:gd name="adj4" fmla="val 37626"/>
          </a:avLst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altLang="ko-KR" sz="1100">
              <a:solidFill>
                <a:schemeClr val="lt1"/>
              </a:solidFill>
              <a:latin typeface="+mn-lt"/>
              <a:ea typeface="+mn-ea"/>
              <a:cs typeface="+mn-cs"/>
            </a:rPr>
            <a:t>x+5</a:t>
          </a:r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587264</xdr:colOff>
      <xdr:row>19</xdr:row>
      <xdr:rowOff>64706</xdr:rowOff>
    </xdr:from>
    <xdr:to>
      <xdr:col>5</xdr:col>
      <xdr:colOff>373444</xdr:colOff>
      <xdr:row>23</xdr:row>
      <xdr:rowOff>20695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2917D38-0D90-4950-8186-C858E3B454AF}"/>
            </a:ext>
          </a:extLst>
        </xdr:cNvPr>
        <xdr:cNvSpPr/>
      </xdr:nvSpPr>
      <xdr:spPr>
        <a:xfrm>
          <a:off x="2598944" y="4042346"/>
          <a:ext cx="1127300" cy="83990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A</a:t>
          </a:r>
          <a:endParaRPr lang="ko-KR" altLang="en-US" sz="1100"/>
        </a:p>
      </xdr:txBody>
    </xdr:sp>
    <xdr:clientData/>
  </xdr:twoCellAnchor>
  <xdr:twoCellAnchor>
    <xdr:from>
      <xdr:col>1</xdr:col>
      <xdr:colOff>62864</xdr:colOff>
      <xdr:row>2</xdr:row>
      <xdr:rowOff>24766</xdr:rowOff>
    </xdr:from>
    <xdr:to>
      <xdr:col>8</xdr:col>
      <xdr:colOff>304800</xdr:colOff>
      <xdr:row>9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4639270-944E-4FB4-AF14-A0170007AD79}"/>
            </a:ext>
          </a:extLst>
        </xdr:cNvPr>
        <xdr:cNvSpPr txBox="1"/>
      </xdr:nvSpPr>
      <xdr:spPr>
        <a:xfrm>
          <a:off x="733424" y="474346"/>
          <a:ext cx="4935856" cy="16744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[</a:t>
          </a:r>
          <a:r>
            <a:rPr lang="ko-KR" altLang="en-US" sz="1100"/>
            <a:t>입력</a:t>
          </a:r>
          <a:r>
            <a:rPr lang="en-US" altLang="ko-KR" sz="1100"/>
            <a:t>]</a:t>
          </a:r>
        </a:p>
        <a:p>
          <a:r>
            <a:rPr lang="en-US" altLang="ko-KR" sz="1100"/>
            <a:t>x1,</a:t>
          </a:r>
          <a:r>
            <a:rPr lang="en-US" altLang="ko-KR" sz="1100" baseline="0"/>
            <a:t> y1, p1, q1</a:t>
          </a:r>
        </a:p>
        <a:p>
          <a:r>
            <a:rPr lang="en-US" altLang="ko-KR" sz="1100" baseline="0"/>
            <a:t>x2, y2, p2, q2</a:t>
          </a:r>
        </a:p>
        <a:p>
          <a:endParaRPr lang="en-US" altLang="ko-KR" sz="1100" baseline="0"/>
        </a:p>
        <a:p>
          <a:r>
            <a:rPr lang="en-US" altLang="ko-KR" sz="1100" baseline="0"/>
            <a:t>x = max(x1, x2), y = max(y1, y2);</a:t>
          </a:r>
        </a:p>
        <a:p>
          <a:r>
            <a:rPr lang="en-US" altLang="ko-KR" sz="1100" baseline="0"/>
            <a:t>p = min(p1, p2), q = min(q1, q2); </a:t>
          </a:r>
          <a:r>
            <a:rPr lang="ko-KR" altLang="en-US" sz="1100" baseline="0"/>
            <a:t>로 </a:t>
          </a:r>
          <a:endParaRPr lang="en-US" altLang="ko-KR" sz="1100" baseline="0"/>
        </a:p>
        <a:p>
          <a:r>
            <a:rPr lang="ko-KR" altLang="en-US" sz="1100" baseline="0"/>
            <a:t>두 사각형이 겹치는 영역을 나타내는 사각형을 구한다</a:t>
          </a:r>
          <a:r>
            <a:rPr lang="en-US" altLang="ko-KR" sz="1100" baseline="0"/>
            <a:t>.</a:t>
          </a:r>
          <a:endParaRPr lang="en-US" altLang="ko-KR" sz="1100"/>
        </a:p>
      </xdr:txBody>
    </xdr:sp>
    <xdr:clientData/>
  </xdr:twoCellAnchor>
  <xdr:twoCellAnchor>
    <xdr:from>
      <xdr:col>1</xdr:col>
      <xdr:colOff>83820</xdr:colOff>
      <xdr:row>10</xdr:row>
      <xdr:rowOff>148525</xdr:rowOff>
    </xdr:from>
    <xdr:to>
      <xdr:col>5</xdr:col>
      <xdr:colOff>563880</xdr:colOff>
      <xdr:row>14</xdr:row>
      <xdr:rowOff>74295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CD6D998-8BC6-4873-8BE5-82FB407BB468}"/>
            </a:ext>
          </a:extLst>
        </xdr:cNvPr>
        <xdr:cNvSpPr txBox="1"/>
      </xdr:nvSpPr>
      <xdr:spPr>
        <a:xfrm>
          <a:off x="754380" y="2137345"/>
          <a:ext cx="3162300" cy="8096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1.</a:t>
          </a:r>
          <a:r>
            <a:rPr lang="en-US" altLang="ko-KR" sz="1100" baseline="0"/>
            <a:t> </a:t>
          </a:r>
          <a:r>
            <a:rPr lang="ko-KR" altLang="en-US" sz="1100" baseline="0"/>
            <a:t>공통부분 없음 처리 </a:t>
          </a:r>
          <a:r>
            <a:rPr lang="en-US" altLang="ko-KR" sz="1100" baseline="0"/>
            <a:t>: d</a:t>
          </a:r>
        </a:p>
        <a:p>
          <a:r>
            <a:rPr lang="en-US" altLang="ko-KR" sz="1100" baseline="0"/>
            <a:t>if( x &gt; p || y &gt; q)</a:t>
          </a:r>
          <a:endParaRPr lang="en-US" altLang="ko-KR" sz="1100"/>
        </a:p>
      </xdr:txBody>
    </xdr:sp>
    <xdr:clientData/>
  </xdr:twoCellAnchor>
  <xdr:twoCellAnchor>
    <xdr:from>
      <xdr:col>4</xdr:col>
      <xdr:colOff>107076</xdr:colOff>
      <xdr:row>36</xdr:row>
      <xdr:rowOff>49269</xdr:rowOff>
    </xdr:from>
    <xdr:to>
      <xdr:col>5</xdr:col>
      <xdr:colOff>576429</xdr:colOff>
      <xdr:row>40</xdr:row>
      <xdr:rowOff>5257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76FC05C1-B0E7-4D3B-A975-70DFAB3037CC}"/>
            </a:ext>
          </a:extLst>
        </xdr:cNvPr>
        <xdr:cNvSpPr/>
      </xdr:nvSpPr>
      <xdr:spPr>
        <a:xfrm>
          <a:off x="2789316" y="7783569"/>
          <a:ext cx="1139913" cy="839908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B</a:t>
          </a:r>
          <a:endParaRPr lang="ko-KR" altLang="en-US" sz="1100"/>
        </a:p>
      </xdr:txBody>
    </xdr:sp>
    <xdr:clientData/>
  </xdr:twoCellAnchor>
  <xdr:twoCellAnchor>
    <xdr:from>
      <xdr:col>5</xdr:col>
      <xdr:colOff>202326</xdr:colOff>
      <xdr:row>38</xdr:row>
      <xdr:rowOff>125469</xdr:rowOff>
    </xdr:from>
    <xdr:to>
      <xdr:col>6</xdr:col>
      <xdr:colOff>671679</xdr:colOff>
      <xdr:row>42</xdr:row>
      <xdr:rowOff>81457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579C55BA-D564-4685-B9ED-23E3ED804524}"/>
            </a:ext>
          </a:extLst>
        </xdr:cNvPr>
        <xdr:cNvSpPr/>
      </xdr:nvSpPr>
      <xdr:spPr>
        <a:xfrm>
          <a:off x="3555126" y="8301729"/>
          <a:ext cx="1139913" cy="839908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B</a:t>
          </a:r>
          <a:endParaRPr lang="ko-KR" altLang="en-US" sz="1100"/>
        </a:p>
      </xdr:txBody>
    </xdr:sp>
    <xdr:clientData/>
  </xdr:twoCellAnchor>
  <xdr:twoCellAnchor>
    <xdr:from>
      <xdr:col>4</xdr:col>
      <xdr:colOff>40401</xdr:colOff>
      <xdr:row>41</xdr:row>
      <xdr:rowOff>173094</xdr:rowOff>
    </xdr:from>
    <xdr:to>
      <xdr:col>5</xdr:col>
      <xdr:colOff>509754</xdr:colOff>
      <xdr:row>45</xdr:row>
      <xdr:rowOff>129082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2B4BAB01-E00E-49F8-809A-5AD508AAE1EB}"/>
            </a:ext>
          </a:extLst>
        </xdr:cNvPr>
        <xdr:cNvSpPr/>
      </xdr:nvSpPr>
      <xdr:spPr>
        <a:xfrm>
          <a:off x="2722641" y="9012294"/>
          <a:ext cx="1139913" cy="839908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B</a:t>
          </a:r>
          <a:endParaRPr lang="ko-KR" altLang="en-US" sz="1100"/>
        </a:p>
      </xdr:txBody>
    </xdr:sp>
    <xdr:clientData/>
  </xdr:twoCellAnchor>
  <xdr:twoCellAnchor>
    <xdr:from>
      <xdr:col>2</xdr:col>
      <xdr:colOff>488076</xdr:colOff>
      <xdr:row>38</xdr:row>
      <xdr:rowOff>30219</xdr:rowOff>
    </xdr:from>
    <xdr:to>
      <xdr:col>4</xdr:col>
      <xdr:colOff>271629</xdr:colOff>
      <xdr:row>41</xdr:row>
      <xdr:rowOff>195757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AC355A77-E4BB-4F87-9803-9F073348EA18}"/>
            </a:ext>
          </a:extLst>
        </xdr:cNvPr>
        <xdr:cNvSpPr/>
      </xdr:nvSpPr>
      <xdr:spPr>
        <a:xfrm>
          <a:off x="1829196" y="8206479"/>
          <a:ext cx="1124673" cy="828478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B</a:t>
          </a:r>
          <a:endParaRPr lang="ko-KR" altLang="en-US" sz="1100"/>
        </a:p>
      </xdr:txBody>
    </xdr:sp>
    <xdr:clientData/>
  </xdr:twoCellAnchor>
  <xdr:twoCellAnchor>
    <xdr:from>
      <xdr:col>1</xdr:col>
      <xdr:colOff>57150</xdr:colOff>
      <xdr:row>31</xdr:row>
      <xdr:rowOff>121855</xdr:rowOff>
    </xdr:from>
    <xdr:to>
      <xdr:col>5</xdr:col>
      <xdr:colOff>552450</xdr:colOff>
      <xdr:row>35</xdr:row>
      <xdr:rowOff>47625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252FB67-A275-442B-AED8-F09A49D28EBC}"/>
            </a:ext>
          </a:extLst>
        </xdr:cNvPr>
        <xdr:cNvSpPr txBox="1"/>
      </xdr:nvSpPr>
      <xdr:spPr>
        <a:xfrm>
          <a:off x="727710" y="6751255"/>
          <a:ext cx="3177540" cy="8096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2.</a:t>
          </a:r>
          <a:r>
            <a:rPr lang="en-US" altLang="ko-KR" sz="1100" baseline="0"/>
            <a:t> </a:t>
          </a:r>
          <a:r>
            <a:rPr lang="ko-KR" altLang="en-US" sz="1100" baseline="0"/>
            <a:t>직사각형 처리 </a:t>
          </a:r>
          <a:r>
            <a:rPr lang="en-US" altLang="ko-KR" sz="1100" baseline="0"/>
            <a:t>: a</a:t>
          </a:r>
        </a:p>
        <a:p>
          <a:r>
            <a:rPr lang="en-US" altLang="ko-KR" sz="1100" baseline="0"/>
            <a:t>if( x &lt; p &amp;&amp; y &lt; q)</a:t>
          </a:r>
          <a:endParaRPr lang="en-US" altLang="ko-KR" sz="1100"/>
        </a:p>
      </xdr:txBody>
    </xdr:sp>
    <xdr:clientData/>
  </xdr:twoCellAnchor>
  <xdr:twoCellAnchor>
    <xdr:from>
      <xdr:col>3</xdr:col>
      <xdr:colOff>606314</xdr:colOff>
      <xdr:row>39</xdr:row>
      <xdr:rowOff>64706</xdr:rowOff>
    </xdr:from>
    <xdr:to>
      <xdr:col>5</xdr:col>
      <xdr:colOff>392494</xdr:colOff>
      <xdr:row>43</xdr:row>
      <xdr:rowOff>20695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3FE2342D-A6F2-4143-B8C6-3A01758C88D0}"/>
            </a:ext>
          </a:extLst>
        </xdr:cNvPr>
        <xdr:cNvSpPr/>
      </xdr:nvSpPr>
      <xdr:spPr>
        <a:xfrm>
          <a:off x="2617994" y="8461946"/>
          <a:ext cx="1127300" cy="83990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A</a:t>
          </a:r>
          <a:endParaRPr lang="ko-KR" altLang="en-US" sz="1100"/>
        </a:p>
      </xdr:txBody>
    </xdr:sp>
    <xdr:clientData/>
  </xdr:twoCellAnchor>
  <xdr:twoCellAnchor>
    <xdr:from>
      <xdr:col>3</xdr:col>
      <xdr:colOff>621426</xdr:colOff>
      <xdr:row>14</xdr:row>
      <xdr:rowOff>201669</xdr:rowOff>
    </xdr:from>
    <xdr:to>
      <xdr:col>5</xdr:col>
      <xdr:colOff>404979</xdr:colOff>
      <xdr:row>18</xdr:row>
      <xdr:rowOff>157657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31711C4-B95E-4A51-B88E-2A0926464167}"/>
            </a:ext>
          </a:extLst>
        </xdr:cNvPr>
        <xdr:cNvSpPr/>
      </xdr:nvSpPr>
      <xdr:spPr>
        <a:xfrm>
          <a:off x="2633106" y="3074409"/>
          <a:ext cx="1124673" cy="839908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B</a:t>
          </a:r>
          <a:endParaRPr lang="ko-KR" altLang="en-US" sz="1100"/>
        </a:p>
      </xdr:txBody>
    </xdr:sp>
    <xdr:clientData/>
  </xdr:twoCellAnchor>
  <xdr:twoCellAnchor>
    <xdr:from>
      <xdr:col>5</xdr:col>
      <xdr:colOff>554751</xdr:colOff>
      <xdr:row>18</xdr:row>
      <xdr:rowOff>144519</xdr:rowOff>
    </xdr:from>
    <xdr:to>
      <xdr:col>7</xdr:col>
      <xdr:colOff>338304</xdr:colOff>
      <xdr:row>22</xdr:row>
      <xdr:rowOff>100507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118523FF-F994-44DC-AA72-F78B1020D4A5}"/>
            </a:ext>
          </a:extLst>
        </xdr:cNvPr>
        <xdr:cNvSpPr/>
      </xdr:nvSpPr>
      <xdr:spPr>
        <a:xfrm>
          <a:off x="3907551" y="3901179"/>
          <a:ext cx="1124673" cy="839908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B</a:t>
          </a:r>
          <a:endParaRPr lang="ko-KR" altLang="en-US" sz="1100"/>
        </a:p>
      </xdr:txBody>
    </xdr:sp>
    <xdr:clientData/>
  </xdr:twoCellAnchor>
  <xdr:twoCellAnchor>
    <xdr:from>
      <xdr:col>3</xdr:col>
      <xdr:colOff>611901</xdr:colOff>
      <xdr:row>23</xdr:row>
      <xdr:rowOff>154044</xdr:rowOff>
    </xdr:from>
    <xdr:to>
      <xdr:col>5</xdr:col>
      <xdr:colOff>395454</xdr:colOff>
      <xdr:row>27</xdr:row>
      <xdr:rowOff>110032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63AA388-0B10-4239-A579-9A38B7818D89}"/>
            </a:ext>
          </a:extLst>
        </xdr:cNvPr>
        <xdr:cNvSpPr/>
      </xdr:nvSpPr>
      <xdr:spPr>
        <a:xfrm>
          <a:off x="2623581" y="5015604"/>
          <a:ext cx="1124673" cy="839908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B</a:t>
          </a:r>
          <a:endParaRPr lang="ko-KR" altLang="en-US" sz="1100"/>
        </a:p>
      </xdr:txBody>
    </xdr:sp>
    <xdr:clientData/>
  </xdr:twoCellAnchor>
  <xdr:twoCellAnchor>
    <xdr:from>
      <xdr:col>1</xdr:col>
      <xdr:colOff>592851</xdr:colOff>
      <xdr:row>19</xdr:row>
      <xdr:rowOff>68319</xdr:rowOff>
    </xdr:from>
    <xdr:to>
      <xdr:col>3</xdr:col>
      <xdr:colOff>376404</xdr:colOff>
      <xdr:row>23</xdr:row>
      <xdr:rowOff>24307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D86033CE-8E84-45E3-8C61-5B360D78B7CD}"/>
            </a:ext>
          </a:extLst>
        </xdr:cNvPr>
        <xdr:cNvSpPr/>
      </xdr:nvSpPr>
      <xdr:spPr>
        <a:xfrm>
          <a:off x="1263411" y="4045959"/>
          <a:ext cx="1124673" cy="839908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B</a:t>
          </a:r>
          <a:endParaRPr lang="ko-KR" altLang="en-US" sz="1100"/>
        </a:p>
      </xdr:txBody>
    </xdr:sp>
    <xdr:clientData/>
  </xdr:twoCellAnchor>
  <xdr:twoCellAnchor>
    <xdr:from>
      <xdr:col>9</xdr:col>
      <xdr:colOff>118110</xdr:colOff>
      <xdr:row>10</xdr:row>
      <xdr:rowOff>156145</xdr:rowOff>
    </xdr:from>
    <xdr:to>
      <xdr:col>13</xdr:col>
      <xdr:colOff>598170</xdr:colOff>
      <xdr:row>14</xdr:row>
      <xdr:rowOff>81915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5E737CE-EAFD-43CF-9B92-89FF28D3DC8E}"/>
            </a:ext>
          </a:extLst>
        </xdr:cNvPr>
        <xdr:cNvSpPr txBox="1"/>
      </xdr:nvSpPr>
      <xdr:spPr>
        <a:xfrm>
          <a:off x="6153150" y="2144965"/>
          <a:ext cx="3162300" cy="8096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3.</a:t>
          </a:r>
          <a:r>
            <a:rPr lang="en-US" altLang="ko-KR" sz="1100" baseline="0"/>
            <a:t> </a:t>
          </a:r>
          <a:r>
            <a:rPr lang="ko-KR" altLang="en-US" sz="1100" baseline="0"/>
            <a:t>점에서 만남 처리</a:t>
          </a:r>
          <a:r>
            <a:rPr lang="en-US" altLang="ko-KR" sz="1100" baseline="0"/>
            <a:t>: c</a:t>
          </a:r>
        </a:p>
        <a:p>
          <a:r>
            <a:rPr lang="en-US" altLang="ko-KR" sz="1100" baseline="0"/>
            <a:t>if( x ==p &amp;&amp; y == q)</a:t>
          </a:r>
          <a:endParaRPr lang="en-US" altLang="ko-KR" sz="1100"/>
        </a:p>
      </xdr:txBody>
    </xdr:sp>
    <xdr:clientData/>
  </xdr:twoCellAnchor>
  <xdr:twoCellAnchor>
    <xdr:from>
      <xdr:col>11</xdr:col>
      <xdr:colOff>168164</xdr:colOff>
      <xdr:row>20</xdr:row>
      <xdr:rowOff>112331</xdr:rowOff>
    </xdr:from>
    <xdr:to>
      <xdr:col>12</xdr:col>
      <xdr:colOff>640144</xdr:colOff>
      <xdr:row>24</xdr:row>
      <xdr:rowOff>68320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B3D48471-90AE-473E-AAE1-FBE1D23F4515}"/>
            </a:ext>
          </a:extLst>
        </xdr:cNvPr>
        <xdr:cNvSpPr/>
      </xdr:nvSpPr>
      <xdr:spPr>
        <a:xfrm>
          <a:off x="7544324" y="4310951"/>
          <a:ext cx="1142540" cy="83990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A</a:t>
          </a:r>
          <a:endParaRPr lang="ko-KR" altLang="en-US" sz="1100"/>
        </a:p>
      </xdr:txBody>
    </xdr:sp>
    <xdr:clientData/>
  </xdr:twoCellAnchor>
  <xdr:twoCellAnchor>
    <xdr:from>
      <xdr:col>12</xdr:col>
      <xdr:colOff>621426</xdr:colOff>
      <xdr:row>16</xdr:row>
      <xdr:rowOff>163569</xdr:rowOff>
    </xdr:from>
    <xdr:to>
      <xdr:col>14</xdr:col>
      <xdr:colOff>404979</xdr:colOff>
      <xdr:row>20</xdr:row>
      <xdr:rowOff>119557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07636AA0-4278-4091-AE4E-81F68149545D}"/>
            </a:ext>
          </a:extLst>
        </xdr:cNvPr>
        <xdr:cNvSpPr/>
      </xdr:nvSpPr>
      <xdr:spPr>
        <a:xfrm>
          <a:off x="8668146" y="3478269"/>
          <a:ext cx="1124673" cy="839908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B</a:t>
          </a:r>
          <a:endParaRPr lang="ko-KR" altLang="en-US" sz="1100"/>
        </a:p>
      </xdr:txBody>
    </xdr:sp>
    <xdr:clientData/>
  </xdr:twoCellAnchor>
  <xdr:twoCellAnchor>
    <xdr:from>
      <xdr:col>12</xdr:col>
      <xdr:colOff>650001</xdr:colOff>
      <xdr:row>24</xdr:row>
      <xdr:rowOff>68319</xdr:rowOff>
    </xdr:from>
    <xdr:to>
      <xdr:col>14</xdr:col>
      <xdr:colOff>433554</xdr:colOff>
      <xdr:row>28</xdr:row>
      <xdr:rowOff>24307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1E97FA39-D789-4F0B-A929-B7A49542E5D7}"/>
            </a:ext>
          </a:extLst>
        </xdr:cNvPr>
        <xdr:cNvSpPr/>
      </xdr:nvSpPr>
      <xdr:spPr>
        <a:xfrm>
          <a:off x="8696721" y="5150859"/>
          <a:ext cx="1124673" cy="839908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B</a:t>
          </a:r>
          <a:endParaRPr lang="ko-KR" altLang="en-US" sz="1100"/>
        </a:p>
      </xdr:txBody>
    </xdr:sp>
    <xdr:clientData/>
  </xdr:twoCellAnchor>
  <xdr:twoCellAnchor>
    <xdr:from>
      <xdr:col>9</xdr:col>
      <xdr:colOff>383301</xdr:colOff>
      <xdr:row>24</xdr:row>
      <xdr:rowOff>68319</xdr:rowOff>
    </xdr:from>
    <xdr:to>
      <xdr:col>11</xdr:col>
      <xdr:colOff>166854</xdr:colOff>
      <xdr:row>28</xdr:row>
      <xdr:rowOff>24307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DAFE8E9C-05F5-4BE7-AE40-5729EC5B155E}"/>
            </a:ext>
          </a:extLst>
        </xdr:cNvPr>
        <xdr:cNvSpPr/>
      </xdr:nvSpPr>
      <xdr:spPr>
        <a:xfrm>
          <a:off x="6418341" y="5150859"/>
          <a:ext cx="1124673" cy="839908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B</a:t>
          </a:r>
          <a:endParaRPr lang="ko-KR" altLang="en-US" sz="1100"/>
        </a:p>
      </xdr:txBody>
    </xdr:sp>
    <xdr:clientData/>
  </xdr:twoCellAnchor>
  <xdr:twoCellAnchor>
    <xdr:from>
      <xdr:col>9</xdr:col>
      <xdr:colOff>373776</xdr:colOff>
      <xdr:row>16</xdr:row>
      <xdr:rowOff>154044</xdr:rowOff>
    </xdr:from>
    <xdr:to>
      <xdr:col>11</xdr:col>
      <xdr:colOff>157329</xdr:colOff>
      <xdr:row>20</xdr:row>
      <xdr:rowOff>110032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5B8018E4-7073-4BB8-A350-D8ADBA45DAEC}"/>
            </a:ext>
          </a:extLst>
        </xdr:cNvPr>
        <xdr:cNvSpPr/>
      </xdr:nvSpPr>
      <xdr:spPr>
        <a:xfrm>
          <a:off x="6408816" y="3468744"/>
          <a:ext cx="1124673" cy="839908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B</a:t>
          </a:r>
          <a:endParaRPr lang="ko-KR" altLang="en-US" sz="1100"/>
        </a:p>
      </xdr:txBody>
    </xdr:sp>
    <xdr:clientData/>
  </xdr:twoCellAnchor>
  <xdr:twoCellAnchor>
    <xdr:from>
      <xdr:col>9</xdr:col>
      <xdr:colOff>205740</xdr:colOff>
      <xdr:row>31</xdr:row>
      <xdr:rowOff>146620</xdr:rowOff>
    </xdr:from>
    <xdr:to>
      <xdr:col>14</xdr:col>
      <xdr:colOff>15240</xdr:colOff>
      <xdr:row>35</xdr:row>
      <xdr:rowOff>72390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61FA875-A61A-448D-82D0-ABB7AC0C9030}"/>
            </a:ext>
          </a:extLst>
        </xdr:cNvPr>
        <xdr:cNvSpPr txBox="1"/>
      </xdr:nvSpPr>
      <xdr:spPr>
        <a:xfrm>
          <a:off x="6240780" y="6776020"/>
          <a:ext cx="3162300" cy="8096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4.</a:t>
          </a:r>
          <a:r>
            <a:rPr lang="en-US" altLang="ko-KR" sz="1100" baseline="0"/>
            <a:t> </a:t>
          </a:r>
          <a:r>
            <a:rPr lang="ko-KR" altLang="en-US" sz="1100" baseline="0"/>
            <a:t>선에서 만남 처리</a:t>
          </a:r>
          <a:r>
            <a:rPr lang="en-US" altLang="ko-KR" sz="1100" baseline="0"/>
            <a:t>: b</a:t>
          </a:r>
        </a:p>
        <a:p>
          <a:r>
            <a:rPr lang="en-US" altLang="ko-KR" sz="1100" baseline="0"/>
            <a:t>else</a:t>
          </a:r>
          <a:endParaRPr lang="en-US" altLang="ko-KR" sz="1100"/>
        </a:p>
      </xdr:txBody>
    </xdr:sp>
    <xdr:clientData/>
  </xdr:twoCellAnchor>
  <xdr:twoCellAnchor>
    <xdr:from>
      <xdr:col>11</xdr:col>
      <xdr:colOff>301514</xdr:colOff>
      <xdr:row>41</xdr:row>
      <xdr:rowOff>140906</xdr:rowOff>
    </xdr:from>
    <xdr:to>
      <xdr:col>13</xdr:col>
      <xdr:colOff>87694</xdr:colOff>
      <xdr:row>45</xdr:row>
      <xdr:rowOff>96895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DFB2CC6D-0B17-4D31-A84B-66B9BA44A575}"/>
            </a:ext>
          </a:extLst>
        </xdr:cNvPr>
        <xdr:cNvSpPr/>
      </xdr:nvSpPr>
      <xdr:spPr>
        <a:xfrm>
          <a:off x="7677674" y="8980106"/>
          <a:ext cx="1127300" cy="83990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A</a:t>
          </a:r>
          <a:endParaRPr lang="ko-KR" altLang="en-US" sz="1100"/>
        </a:p>
      </xdr:txBody>
    </xdr:sp>
    <xdr:clientData/>
  </xdr:twoCellAnchor>
  <xdr:twoCellAnchor>
    <xdr:from>
      <xdr:col>13</xdr:col>
      <xdr:colOff>88026</xdr:colOff>
      <xdr:row>40</xdr:row>
      <xdr:rowOff>39744</xdr:rowOff>
    </xdr:from>
    <xdr:to>
      <xdr:col>14</xdr:col>
      <xdr:colOff>557379</xdr:colOff>
      <xdr:row>43</xdr:row>
      <xdr:rowOff>205282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2AB756EB-ECF0-4889-AF50-3A342B840051}"/>
            </a:ext>
          </a:extLst>
        </xdr:cNvPr>
        <xdr:cNvSpPr/>
      </xdr:nvSpPr>
      <xdr:spPr>
        <a:xfrm>
          <a:off x="8805306" y="8657964"/>
          <a:ext cx="1139913" cy="828478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B</a:t>
          </a:r>
          <a:endParaRPr lang="ko-KR" altLang="en-US" sz="1100"/>
        </a:p>
      </xdr:txBody>
    </xdr:sp>
    <xdr:clientData/>
  </xdr:twoCellAnchor>
  <xdr:twoCellAnchor>
    <xdr:from>
      <xdr:col>12</xdr:col>
      <xdr:colOff>126126</xdr:colOff>
      <xdr:row>45</xdr:row>
      <xdr:rowOff>96894</xdr:rowOff>
    </xdr:from>
    <xdr:to>
      <xdr:col>13</xdr:col>
      <xdr:colOff>595479</xdr:colOff>
      <xdr:row>49</xdr:row>
      <xdr:rowOff>52882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C2F6B312-223B-47F6-876B-AE2041907F15}"/>
            </a:ext>
          </a:extLst>
        </xdr:cNvPr>
        <xdr:cNvSpPr/>
      </xdr:nvSpPr>
      <xdr:spPr>
        <a:xfrm>
          <a:off x="8172846" y="9820014"/>
          <a:ext cx="1139913" cy="839908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B</a:t>
          </a:r>
          <a:endParaRPr lang="ko-KR" altLang="en-US" sz="1100"/>
        </a:p>
      </xdr:txBody>
    </xdr:sp>
    <xdr:clientData/>
  </xdr:twoCellAnchor>
  <xdr:twoCellAnchor>
    <xdr:from>
      <xdr:col>9</xdr:col>
      <xdr:colOff>516651</xdr:colOff>
      <xdr:row>43</xdr:row>
      <xdr:rowOff>125469</xdr:rowOff>
    </xdr:from>
    <xdr:to>
      <xdr:col>11</xdr:col>
      <xdr:colOff>300204</xdr:colOff>
      <xdr:row>47</xdr:row>
      <xdr:rowOff>81457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55E7EAC0-9B64-493E-A000-22320FA5F07D}"/>
            </a:ext>
          </a:extLst>
        </xdr:cNvPr>
        <xdr:cNvSpPr/>
      </xdr:nvSpPr>
      <xdr:spPr>
        <a:xfrm>
          <a:off x="6551691" y="9406629"/>
          <a:ext cx="1124673" cy="839908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B</a:t>
          </a:r>
          <a:endParaRPr lang="ko-KR" altLang="en-US" sz="1100"/>
        </a:p>
      </xdr:txBody>
    </xdr:sp>
    <xdr:clientData/>
  </xdr:twoCellAnchor>
  <xdr:twoCellAnchor>
    <xdr:from>
      <xdr:col>10</xdr:col>
      <xdr:colOff>335676</xdr:colOff>
      <xdr:row>37</xdr:row>
      <xdr:rowOff>182619</xdr:rowOff>
    </xdr:from>
    <xdr:to>
      <xdr:col>12</xdr:col>
      <xdr:colOff>119229</xdr:colOff>
      <xdr:row>41</xdr:row>
      <xdr:rowOff>138607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965547BD-B1DD-4B47-93D8-25E5C9EB4EB2}"/>
            </a:ext>
          </a:extLst>
        </xdr:cNvPr>
        <xdr:cNvSpPr/>
      </xdr:nvSpPr>
      <xdr:spPr>
        <a:xfrm>
          <a:off x="7041276" y="8137899"/>
          <a:ext cx="1124673" cy="839908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B</a:t>
          </a:r>
          <a:endParaRPr lang="ko-KR" altLang="en-US" sz="1100"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53340</xdr:colOff>
      <xdr:row>9</xdr:row>
      <xdr:rowOff>38100</xdr:rowOff>
    </xdr:from>
    <xdr:to>
      <xdr:col>12</xdr:col>
      <xdr:colOff>240030</xdr:colOff>
      <xdr:row>15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EFE2E9A-ABD8-7074-1C4C-A65B343743CA}"/>
            </a:ext>
          </a:extLst>
        </xdr:cNvPr>
        <xdr:cNvSpPr txBox="1"/>
      </xdr:nvSpPr>
      <xdr:spPr>
        <a:xfrm>
          <a:off x="843915" y="2609850"/>
          <a:ext cx="3225165" cy="1714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//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방법 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1</a:t>
          </a:r>
        </a:p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for(int i=0;i&lt;H;++i){</a:t>
          </a:r>
        </a:p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for(int j=0;j&lt;W;++j)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{</a:t>
          </a: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         T[j][H-i-1] = A[i][j];</a:t>
          </a: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   }</a:t>
          </a: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}</a:t>
          </a: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swap(H, W);</a:t>
          </a:r>
        </a:p>
        <a:p>
          <a:endParaRPr lang="ko-KR" altLang="en-US" sz="1100">
            <a:latin typeface="D2Coding" panose="020B0609020101020101" pitchFamily="49" charset="-127"/>
            <a:ea typeface="D2Coding" panose="020B0609020101020101" pitchFamily="49" charset="-127"/>
          </a:endParaRPr>
        </a:p>
      </xdr:txBody>
    </xdr:sp>
    <xdr:clientData/>
  </xdr:twoCellAnchor>
  <xdr:twoCellAnchor>
    <xdr:from>
      <xdr:col>1</xdr:col>
      <xdr:colOff>28575</xdr:colOff>
      <xdr:row>24</xdr:row>
      <xdr:rowOff>104775</xdr:rowOff>
    </xdr:from>
    <xdr:to>
      <xdr:col>11</xdr:col>
      <xdr:colOff>247650</xdr:colOff>
      <xdr:row>29</xdr:row>
      <xdr:rowOff>130661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ED9E0F7-5DA8-4ACA-9512-295844846D31}"/>
            </a:ext>
          </a:extLst>
        </xdr:cNvPr>
        <xdr:cNvSpPr txBox="1"/>
      </xdr:nvSpPr>
      <xdr:spPr>
        <a:xfrm>
          <a:off x="5514975" y="2676525"/>
          <a:ext cx="2981325" cy="14546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for(int i=0;i&lt;H;++i){</a:t>
          </a:r>
        </a:p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for(int j=0;j&lt;W;++j)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{</a:t>
          </a: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         T[H-i-1][W-j-1] = A[i][j];</a:t>
          </a: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   }</a:t>
          </a: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}</a:t>
          </a:r>
        </a:p>
      </xdr:txBody>
    </xdr:sp>
    <xdr:clientData/>
  </xdr:twoCellAnchor>
  <xdr:twoCellAnchor>
    <xdr:from>
      <xdr:col>1</xdr:col>
      <xdr:colOff>53340</xdr:colOff>
      <xdr:row>39</xdr:row>
      <xdr:rowOff>38100</xdr:rowOff>
    </xdr:from>
    <xdr:to>
      <xdr:col>12</xdr:col>
      <xdr:colOff>236220</xdr:colOff>
      <xdr:row>44</xdr:row>
      <xdr:rowOff>144780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ACA0A02-4372-4533-98DB-868EB00FA9EC}"/>
            </a:ext>
          </a:extLst>
        </xdr:cNvPr>
        <xdr:cNvSpPr txBox="1"/>
      </xdr:nvSpPr>
      <xdr:spPr>
        <a:xfrm>
          <a:off x="842234" y="2619935"/>
          <a:ext cx="3239845" cy="15410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for(int i=0;i&lt;H;++i){</a:t>
          </a:r>
        </a:p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for(int j=0;j&lt;W;++j)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{</a:t>
          </a: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         T[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W-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j-1][i] = A[i][j];</a:t>
          </a: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   }</a:t>
          </a: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}</a:t>
          </a: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swap(H, W);</a:t>
          </a:r>
        </a:p>
        <a:p>
          <a:endParaRPr lang="ko-KR" altLang="en-US" sz="1100">
            <a:latin typeface="D2Coding" panose="020B0609020101020101" pitchFamily="49" charset="-127"/>
            <a:ea typeface="D2Coding" panose="020B0609020101020101" pitchFamily="49" charset="-127"/>
          </a:endParaRPr>
        </a:p>
      </xdr:txBody>
    </xdr:sp>
    <xdr:clientData/>
  </xdr:twoCellAnchor>
  <xdr:twoCellAnchor>
    <xdr:from>
      <xdr:col>1</xdr:col>
      <xdr:colOff>17481</xdr:colOff>
      <xdr:row>55</xdr:row>
      <xdr:rowOff>91889</xdr:rowOff>
    </xdr:from>
    <xdr:to>
      <xdr:col>12</xdr:col>
      <xdr:colOff>200361</xdr:colOff>
      <xdr:row>59</xdr:row>
      <xdr:rowOff>251011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BA0DAD1-A5E6-4C90-8643-E16BDF6EC0CE}"/>
            </a:ext>
          </a:extLst>
        </xdr:cNvPr>
        <xdr:cNvSpPr txBox="1"/>
      </xdr:nvSpPr>
      <xdr:spPr>
        <a:xfrm>
          <a:off x="806375" y="7550524"/>
          <a:ext cx="3239845" cy="13066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for(int i=0;i&lt;H;++i){</a:t>
          </a:r>
        </a:p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for(int j=0;j&lt;W;++j)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{</a:t>
          </a: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         T[H-i-1][j] = A[i][j];</a:t>
          </a: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   }</a:t>
          </a: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}</a:t>
          </a:r>
        </a:p>
      </xdr:txBody>
    </xdr:sp>
    <xdr:clientData/>
  </xdr:twoCellAnchor>
  <xdr:twoCellAnchor>
    <xdr:from>
      <xdr:col>1</xdr:col>
      <xdr:colOff>17481</xdr:colOff>
      <xdr:row>70</xdr:row>
      <xdr:rowOff>91889</xdr:rowOff>
    </xdr:from>
    <xdr:to>
      <xdr:col>12</xdr:col>
      <xdr:colOff>200361</xdr:colOff>
      <xdr:row>74</xdr:row>
      <xdr:rowOff>251011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29B9CB7-67A1-4DC0-8CA6-FBF113B9AA7D}"/>
            </a:ext>
          </a:extLst>
        </xdr:cNvPr>
        <xdr:cNvSpPr txBox="1"/>
      </xdr:nvSpPr>
      <xdr:spPr>
        <a:xfrm>
          <a:off x="806375" y="7550524"/>
          <a:ext cx="3239845" cy="13066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for(int i=0;i&lt;H;++i){</a:t>
          </a:r>
        </a:p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for(int j=0;j&lt;W;++j)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{</a:t>
          </a: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         T[i][W-j-1] = A[i][j];</a:t>
          </a: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   }</a:t>
          </a: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}</a:t>
          </a:r>
        </a:p>
      </xdr:txBody>
    </xdr:sp>
    <xdr:clientData/>
  </xdr:twoCellAnchor>
  <xdr:twoCellAnchor>
    <xdr:from>
      <xdr:col>20</xdr:col>
      <xdr:colOff>258003</xdr:colOff>
      <xdr:row>19</xdr:row>
      <xdr:rowOff>93759</xdr:rowOff>
    </xdr:from>
    <xdr:to>
      <xdr:col>24</xdr:col>
      <xdr:colOff>135338</xdr:colOff>
      <xdr:row>24</xdr:row>
      <xdr:rowOff>110987</xdr:rowOff>
    </xdr:to>
    <xdr:sp macro="" textlink="">
      <xdr:nvSpPr>
        <xdr:cNvPr id="7" name="화살표: 오른쪽 6">
          <a:extLst>
            <a:ext uri="{FF2B5EF4-FFF2-40B4-BE49-F238E27FC236}">
              <a16:creationId xmlns:a16="http://schemas.microsoft.com/office/drawing/2014/main" id="{5CF65D78-1845-6F05-1FC2-C898258CD2E6}"/>
            </a:ext>
          </a:extLst>
        </xdr:cNvPr>
        <xdr:cNvSpPr/>
      </xdr:nvSpPr>
      <xdr:spPr>
        <a:xfrm>
          <a:off x="9887778" y="5523009"/>
          <a:ext cx="982235" cy="144597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상하</a:t>
          </a:r>
          <a:br>
            <a:rPr lang="en-US" altLang="ko-KR" sz="1100"/>
          </a:br>
          <a:r>
            <a:rPr lang="ko-KR" altLang="en-US" sz="1100"/>
            <a:t>뒤집기</a:t>
          </a:r>
        </a:p>
      </xdr:txBody>
    </xdr:sp>
    <xdr:clientData/>
  </xdr:twoCellAnchor>
  <xdr:twoCellAnchor>
    <xdr:from>
      <xdr:col>30</xdr:col>
      <xdr:colOff>273243</xdr:colOff>
      <xdr:row>19</xdr:row>
      <xdr:rowOff>97569</xdr:rowOff>
    </xdr:from>
    <xdr:to>
      <xdr:col>34</xdr:col>
      <xdr:colOff>158198</xdr:colOff>
      <xdr:row>24</xdr:row>
      <xdr:rowOff>110987</xdr:rowOff>
    </xdr:to>
    <xdr:sp macro="" textlink="">
      <xdr:nvSpPr>
        <xdr:cNvPr id="8" name="화살표: 오른쪽 7">
          <a:extLst>
            <a:ext uri="{FF2B5EF4-FFF2-40B4-BE49-F238E27FC236}">
              <a16:creationId xmlns:a16="http://schemas.microsoft.com/office/drawing/2014/main" id="{7AD99073-DEEE-97C0-271A-065725CF8182}"/>
            </a:ext>
          </a:extLst>
        </xdr:cNvPr>
        <xdr:cNvSpPr/>
      </xdr:nvSpPr>
      <xdr:spPr>
        <a:xfrm>
          <a:off x="12665268" y="5526819"/>
          <a:ext cx="989855" cy="144216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좌우</a:t>
          </a:r>
          <a:br>
            <a:rPr lang="en-US" altLang="ko-KR" sz="1100"/>
          </a:br>
          <a:r>
            <a:rPr lang="ko-KR" altLang="en-US" sz="1100"/>
            <a:t>뒤집기</a:t>
          </a:r>
        </a:p>
      </xdr:txBody>
    </xdr:sp>
    <xdr:clientData/>
  </xdr:twoCellAnchor>
  <xdr:twoCellAnchor>
    <xdr:from>
      <xdr:col>19</xdr:col>
      <xdr:colOff>0</xdr:colOff>
      <xdr:row>24</xdr:row>
      <xdr:rowOff>171450</xdr:rowOff>
    </xdr:from>
    <xdr:to>
      <xdr:col>37</xdr:col>
      <xdr:colOff>209550</xdr:colOff>
      <xdr:row>27</xdr:row>
      <xdr:rowOff>9525</xdr:rowOff>
    </xdr:to>
    <xdr:sp macro="" textlink="">
      <xdr:nvSpPr>
        <xdr:cNvPr id="9" name="화살표: 위로 구부러짐 8">
          <a:extLst>
            <a:ext uri="{FF2B5EF4-FFF2-40B4-BE49-F238E27FC236}">
              <a16:creationId xmlns:a16="http://schemas.microsoft.com/office/drawing/2014/main" id="{CA434578-A73E-E3A7-37FC-86D31CDE761E}"/>
            </a:ext>
          </a:extLst>
        </xdr:cNvPr>
        <xdr:cNvSpPr/>
      </xdr:nvSpPr>
      <xdr:spPr>
        <a:xfrm>
          <a:off x="9353550" y="7029450"/>
          <a:ext cx="5181600" cy="695325"/>
        </a:xfrm>
        <a:prstGeom prst="curved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186690</xdr:colOff>
      <xdr:row>25</xdr:row>
      <xdr:rowOff>179070</xdr:rowOff>
    </xdr:from>
    <xdr:to>
      <xdr:col>31</xdr:col>
      <xdr:colOff>142875</xdr:colOff>
      <xdr:row>26</xdr:row>
      <xdr:rowOff>192405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FDE8168-E83E-DA05-A5A4-78AC61E87504}"/>
            </a:ext>
          </a:extLst>
        </xdr:cNvPr>
        <xdr:cNvSpPr txBox="1"/>
      </xdr:nvSpPr>
      <xdr:spPr>
        <a:xfrm>
          <a:off x="10921365" y="7322820"/>
          <a:ext cx="1889760" cy="2990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180</a:t>
          </a:r>
          <a:r>
            <a:rPr lang="ko-KR" altLang="en-US" sz="1100"/>
            <a:t>도 회전하기와 같다</a:t>
          </a:r>
          <a:r>
            <a:rPr lang="en-US" altLang="ko-KR" sz="1100"/>
            <a:t>.</a:t>
          </a:r>
          <a:endParaRPr lang="ko-KR" altLang="en-US" sz="1100"/>
        </a:p>
      </xdr:txBody>
    </xdr:sp>
    <xdr:clientData/>
  </xdr:twoCellAnchor>
  <xdr:twoCellAnchor>
    <xdr:from>
      <xdr:col>43</xdr:col>
      <xdr:colOff>174420</xdr:colOff>
      <xdr:row>0</xdr:row>
      <xdr:rowOff>266907</xdr:rowOff>
    </xdr:from>
    <xdr:to>
      <xdr:col>65</xdr:col>
      <xdr:colOff>361950</xdr:colOff>
      <xdr:row>42</xdr:row>
      <xdr:rowOff>53340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C2E9747-1E9A-1A48-A0CC-AC8B91A35613}"/>
            </a:ext>
          </a:extLst>
        </xdr:cNvPr>
        <xdr:cNvSpPr txBox="1"/>
      </xdr:nvSpPr>
      <xdr:spPr>
        <a:xfrm>
          <a:off x="12566445" y="266907"/>
          <a:ext cx="6750255" cy="117879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>
              <a:latin typeface="D2Coding" panose="020B0609020101020101" pitchFamily="49" charset="-127"/>
              <a:ea typeface="D2Coding" panose="020B0609020101020101" pitchFamily="49" charset="-127"/>
            </a:rPr>
            <a:t>[</a:t>
          </a:r>
          <a:r>
            <a:rPr lang="ko-KR" altLang="en-US" sz="1100" b="1">
              <a:latin typeface="D2Coding" panose="020B0609020101020101" pitchFamily="49" charset="-127"/>
              <a:ea typeface="D2Coding" panose="020B0609020101020101" pitchFamily="49" charset="-127"/>
            </a:rPr>
            <a:t>해법 연구 </a:t>
          </a:r>
          <a:r>
            <a:rPr lang="en-US" altLang="ko-KR" sz="1100" b="1">
              <a:latin typeface="D2Coding" panose="020B0609020101020101" pitchFamily="49" charset="-127"/>
              <a:ea typeface="D2Coding" panose="020B0609020101020101" pitchFamily="49" charset="-127"/>
            </a:rPr>
            <a:t>1]</a:t>
          </a:r>
        </a:p>
        <a:p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회전의 경우 아래와 같은 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[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시계방향 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90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도 회전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]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함수를 만들어 두고 </a:t>
          </a:r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반복 적용하는 것으로 처리할 수 있다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>
              <a:solidFill>
                <a:srgbClr val="0000FF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void</a:t>
          </a:r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cw90() {       </a:t>
          </a:r>
          <a:r>
            <a:rPr lang="en-US" altLang="ko-KR" sz="1100">
              <a:solidFill>
                <a:srgbClr val="008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// </a:t>
          </a:r>
          <a:r>
            <a:rPr lang="ko-KR" altLang="en-US" sz="1100">
              <a:solidFill>
                <a:srgbClr val="008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시계방향으로 </a:t>
          </a:r>
          <a:r>
            <a:rPr lang="en-US" altLang="ko-KR" sz="1100">
              <a:solidFill>
                <a:srgbClr val="008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90</a:t>
          </a:r>
          <a:r>
            <a:rPr lang="ko-KR" altLang="en-US" sz="1100">
              <a:solidFill>
                <a:srgbClr val="008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도씩 회전하기</a:t>
          </a:r>
          <a:endParaRPr lang="ko-KR" altLang="en-US" sz="1100">
            <a:solidFill>
              <a:srgbClr val="000000"/>
            </a:solidFill>
            <a:latin typeface="돋움체" panose="020B0609000101010101" pitchFamily="49" charset="-127"/>
            <a:ea typeface="돋움체" panose="020B0609000101010101" pitchFamily="49" charset="-127"/>
          </a:endParaRPr>
        </a:p>
        <a:p>
          <a:r>
            <a:rPr lang="en-US" altLang="ko-KR" sz="1100">
              <a:solidFill>
                <a:srgbClr val="0000FF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   for</a:t>
          </a:r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(</a:t>
          </a:r>
          <a:r>
            <a:rPr lang="en-US" altLang="ko-KR" sz="1100">
              <a:solidFill>
                <a:srgbClr val="0000FF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int</a:t>
          </a:r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i = 0; i &lt; H; ++i) {</a:t>
          </a:r>
        </a:p>
        <a:p>
          <a:r>
            <a:rPr lang="en-US" altLang="ko-KR" sz="1100">
              <a:solidFill>
                <a:srgbClr val="0000FF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       for</a:t>
          </a:r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(</a:t>
          </a:r>
          <a:r>
            <a:rPr lang="en-US" altLang="ko-KR" sz="1100">
              <a:solidFill>
                <a:srgbClr val="0000FF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int</a:t>
          </a:r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j = 0; j &lt; W; ++j) {</a:t>
          </a:r>
        </a:p>
        <a:p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           T[j][H - i - 1] = A[i][j];  </a:t>
          </a:r>
          <a:r>
            <a:rPr lang="en-US" altLang="ko-KR" sz="1100">
              <a:solidFill>
                <a:srgbClr val="008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// </a:t>
          </a:r>
          <a:r>
            <a:rPr lang="ko-KR" altLang="en-US" sz="1100">
              <a:solidFill>
                <a:srgbClr val="008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임시배열에 회전하여 저장</a:t>
          </a:r>
          <a:endParaRPr lang="ko-KR" altLang="en-US" sz="1100">
            <a:solidFill>
              <a:srgbClr val="000000"/>
            </a:solidFill>
            <a:latin typeface="돋움체" panose="020B0609000101010101" pitchFamily="49" charset="-127"/>
            <a:ea typeface="돋움체" panose="020B0609000101010101" pitchFamily="49" charset="-127"/>
          </a:endParaRPr>
        </a:p>
        <a:p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       }</a:t>
          </a:r>
        </a:p>
        <a:p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   }</a:t>
          </a:r>
        </a:p>
        <a:p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   Swap(H, W);     </a:t>
          </a:r>
          <a:r>
            <a:rPr lang="en-US" altLang="ko-KR" sz="1100">
              <a:solidFill>
                <a:srgbClr val="008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// *****</a:t>
          </a:r>
          <a:endParaRPr lang="en-US" altLang="ko-KR" sz="1100">
            <a:solidFill>
              <a:srgbClr val="000000"/>
            </a:solidFill>
            <a:latin typeface="돋움체" panose="020B0609000101010101" pitchFamily="49" charset="-127"/>
            <a:ea typeface="돋움체" panose="020B0609000101010101" pitchFamily="49" charset="-127"/>
          </a:endParaRPr>
        </a:p>
        <a:p>
          <a:r>
            <a:rPr lang="en-US" altLang="ko-KR" sz="1100">
              <a:solidFill>
                <a:srgbClr val="0000FF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   for</a:t>
          </a:r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(</a:t>
          </a:r>
          <a:r>
            <a:rPr lang="en-US" altLang="ko-KR" sz="1100">
              <a:solidFill>
                <a:srgbClr val="0000FF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int</a:t>
          </a:r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i = 0; i &lt; H; ++i) {</a:t>
          </a:r>
        </a:p>
        <a:p>
          <a:r>
            <a:rPr lang="en-US" altLang="ko-KR" sz="1100">
              <a:solidFill>
                <a:srgbClr val="0000FF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       for</a:t>
          </a:r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(</a:t>
          </a:r>
          <a:r>
            <a:rPr lang="en-US" altLang="ko-KR" sz="1100">
              <a:solidFill>
                <a:srgbClr val="0000FF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int</a:t>
          </a:r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j = 0; j &lt; W; ++j) {   </a:t>
          </a:r>
          <a:r>
            <a:rPr lang="en-US" altLang="ko-KR" sz="1100">
              <a:solidFill>
                <a:srgbClr val="008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// </a:t>
          </a:r>
          <a:r>
            <a:rPr lang="ko-KR" altLang="en-US" sz="1100">
              <a:solidFill>
                <a:srgbClr val="008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원래 배열에 복사</a:t>
          </a:r>
          <a:endParaRPr lang="ko-KR" altLang="en-US" sz="1100">
            <a:solidFill>
              <a:srgbClr val="000000"/>
            </a:solidFill>
            <a:latin typeface="돋움체" panose="020B0609000101010101" pitchFamily="49" charset="-127"/>
            <a:ea typeface="돋움체" panose="020B0609000101010101" pitchFamily="49" charset="-127"/>
          </a:endParaRPr>
        </a:p>
        <a:p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           A[i][j] = T[i][j];</a:t>
          </a:r>
        </a:p>
        <a:p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       }</a:t>
          </a:r>
        </a:p>
        <a:p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       A[i][W] = 0; </a:t>
          </a:r>
          <a:r>
            <a:rPr lang="en-US" altLang="ko-KR" sz="1100">
              <a:solidFill>
                <a:srgbClr val="008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// ***** : </a:t>
          </a:r>
          <a:r>
            <a:rPr lang="ko-KR" altLang="en-US" sz="1100">
              <a:solidFill>
                <a:srgbClr val="008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현재 행의 끝을 알리는 </a:t>
          </a:r>
          <a:r>
            <a:rPr lang="en-US" altLang="ko-KR" sz="1100">
              <a:solidFill>
                <a:srgbClr val="008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sentinel value</a:t>
          </a:r>
          <a:endParaRPr lang="en-US" altLang="ko-KR" sz="1100">
            <a:solidFill>
              <a:srgbClr val="000000"/>
            </a:solidFill>
            <a:latin typeface="돋움체" panose="020B0609000101010101" pitchFamily="49" charset="-127"/>
            <a:ea typeface="돋움체" panose="020B0609000101010101" pitchFamily="49" charset="-127"/>
          </a:endParaRPr>
        </a:p>
        <a:p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   }</a:t>
          </a:r>
        </a:p>
        <a:p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}</a:t>
          </a:r>
        </a:p>
        <a:p>
          <a:endParaRPr lang="en-US" altLang="ko-KR" sz="1100" baseline="0">
            <a:latin typeface="D2Coding" panose="020B0609020101020101" pitchFamily="49" charset="-127"/>
            <a:ea typeface="D2Coding" panose="020B0609020101020101" pitchFamily="49" charset="-127"/>
          </a:endParaRPr>
        </a:p>
        <a:p>
          <a:endParaRPr lang="en-US" altLang="ko-KR" sz="1100" baseline="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상하 뒤집기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, 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좌우 뒤집기는 별도로 구현하여 처리한다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endParaRPr lang="en-US" altLang="ko-KR" sz="1100" baseline="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>
              <a:solidFill>
                <a:srgbClr val="0000FF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void</a:t>
          </a:r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flip() {</a:t>
          </a:r>
        </a:p>
        <a:p>
          <a:r>
            <a:rPr lang="en-US" altLang="ko-KR" sz="1100">
              <a:solidFill>
                <a:srgbClr val="0000FF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   if</a:t>
          </a:r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(cmd == 3) {</a:t>
          </a:r>
        </a:p>
        <a:p>
          <a:r>
            <a:rPr lang="en-US" altLang="ko-KR" sz="1100">
              <a:solidFill>
                <a:srgbClr val="0000FF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       for</a:t>
          </a:r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(</a:t>
          </a:r>
          <a:r>
            <a:rPr lang="en-US" altLang="ko-KR" sz="1100">
              <a:solidFill>
                <a:srgbClr val="0000FF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int</a:t>
          </a:r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i = 0; i &lt; H/2; ++i) {</a:t>
          </a:r>
        </a:p>
        <a:p>
          <a:r>
            <a:rPr lang="en-US" altLang="ko-KR" sz="1100">
              <a:solidFill>
                <a:srgbClr val="0000FF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           for</a:t>
          </a:r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(</a:t>
          </a:r>
          <a:r>
            <a:rPr lang="en-US" altLang="ko-KR" sz="1100">
              <a:solidFill>
                <a:srgbClr val="0000FF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int</a:t>
          </a:r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j = 0; j &lt; W; ++j)</a:t>
          </a:r>
        </a:p>
        <a:p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               Swap(A[i][j], A[H - i - 1][j]);  </a:t>
          </a:r>
          <a:r>
            <a:rPr lang="en-US" altLang="ko-KR" sz="1100">
              <a:solidFill>
                <a:srgbClr val="008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// </a:t>
          </a:r>
          <a:r>
            <a:rPr lang="ko-KR" altLang="en-US" sz="1100">
              <a:solidFill>
                <a:srgbClr val="008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상하 뒤집기</a:t>
          </a:r>
          <a:endParaRPr lang="ko-KR" altLang="en-US" sz="1100">
            <a:solidFill>
              <a:srgbClr val="000000"/>
            </a:solidFill>
            <a:latin typeface="돋움체" panose="020B0609000101010101" pitchFamily="49" charset="-127"/>
            <a:ea typeface="돋움체" panose="020B0609000101010101" pitchFamily="49" charset="-127"/>
          </a:endParaRPr>
        </a:p>
        <a:p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           }</a:t>
          </a:r>
        </a:p>
        <a:p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   }</a:t>
          </a:r>
        </a:p>
        <a:p>
          <a:r>
            <a:rPr lang="en-US" altLang="ko-KR" sz="1100">
              <a:solidFill>
                <a:srgbClr val="0000FF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   else</a:t>
          </a:r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{</a:t>
          </a:r>
        </a:p>
        <a:p>
          <a:r>
            <a:rPr lang="en-US" altLang="ko-KR" sz="1100">
              <a:solidFill>
                <a:srgbClr val="0000FF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       for</a:t>
          </a:r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(</a:t>
          </a:r>
          <a:r>
            <a:rPr lang="en-US" altLang="ko-KR" sz="1100">
              <a:solidFill>
                <a:srgbClr val="0000FF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int</a:t>
          </a:r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i = 0; i &lt; H; ++i) {</a:t>
          </a:r>
        </a:p>
        <a:p>
          <a:r>
            <a:rPr lang="en-US" altLang="ko-KR" sz="1100">
              <a:solidFill>
                <a:srgbClr val="0000FF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           for</a:t>
          </a:r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(</a:t>
          </a:r>
          <a:r>
            <a:rPr lang="en-US" altLang="ko-KR" sz="1100">
              <a:solidFill>
                <a:srgbClr val="0000FF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int</a:t>
          </a:r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j = 0; j &lt; W / 2; ++j)</a:t>
          </a:r>
        </a:p>
        <a:p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               Swap(A[i][j], A[i][W - j - 1]);  </a:t>
          </a:r>
          <a:r>
            <a:rPr lang="en-US" altLang="ko-KR" sz="1100">
              <a:solidFill>
                <a:srgbClr val="008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// </a:t>
          </a:r>
          <a:r>
            <a:rPr lang="ko-KR" altLang="en-US" sz="1100">
              <a:solidFill>
                <a:srgbClr val="008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좌우 뒤집기</a:t>
          </a:r>
          <a:endParaRPr lang="ko-KR" altLang="en-US" sz="1100">
            <a:solidFill>
              <a:srgbClr val="000000"/>
            </a:solidFill>
            <a:latin typeface="돋움체" panose="020B0609000101010101" pitchFamily="49" charset="-127"/>
            <a:ea typeface="돋움체" panose="020B0609000101010101" pitchFamily="49" charset="-127"/>
          </a:endParaRPr>
        </a:p>
        <a:p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       }</a:t>
          </a:r>
        </a:p>
        <a:p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   }</a:t>
          </a:r>
        </a:p>
        <a:p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}</a:t>
          </a:r>
          <a:endParaRPr lang="en-US" altLang="ko-KR" sz="1100" baseline="0">
            <a:latin typeface="D2Coding" panose="020B0609020101020101" pitchFamily="49" charset="-127"/>
            <a:ea typeface="D2Coding" panose="020B0609020101020101" pitchFamily="49" charset="-127"/>
          </a:endParaRPr>
        </a:p>
        <a:p>
          <a:endParaRPr lang="en-US" altLang="ko-KR" sz="1100" baseline="0">
            <a:latin typeface="D2Coding" panose="020B0609020101020101" pitchFamily="49" charset="-127"/>
            <a:ea typeface="D2Coding" panose="020B0609020101020101" pitchFamily="49" charset="-127"/>
          </a:endParaRPr>
        </a:p>
        <a:p>
          <a:endParaRPr lang="en-US" altLang="ko-KR" sz="1100" baseline="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 b="1" baseline="0">
              <a:latin typeface="D2Coding" panose="020B0609020101020101" pitchFamily="49" charset="-127"/>
              <a:ea typeface="D2Coding" panose="020B0609020101020101" pitchFamily="49" charset="-127"/>
            </a:rPr>
            <a:t>[</a:t>
          </a:r>
          <a:r>
            <a:rPr lang="ko-KR" altLang="en-US" sz="1100" b="1" baseline="0">
              <a:latin typeface="D2Coding" panose="020B0609020101020101" pitchFamily="49" charset="-127"/>
              <a:ea typeface="D2Coding" panose="020B0609020101020101" pitchFamily="49" charset="-127"/>
            </a:rPr>
            <a:t>해법 연구 </a:t>
          </a:r>
          <a:r>
            <a:rPr lang="en-US" altLang="ko-KR" sz="1100" b="1" baseline="0">
              <a:latin typeface="D2Coding" panose="020B0609020101020101" pitchFamily="49" charset="-127"/>
              <a:ea typeface="D2Coding" panose="020B0609020101020101" pitchFamily="49" charset="-127"/>
            </a:rPr>
            <a:t>2]</a:t>
          </a:r>
        </a:p>
        <a:p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각 명령마다 독립적으로 구현하여 처리할 수 있다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예를 들면 아래와 같다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endParaRPr lang="en-US" altLang="ko-KR" sz="1100" baseline="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>
              <a:solidFill>
                <a:srgbClr val="0000FF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void</a:t>
          </a:r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process() {</a:t>
          </a:r>
        </a:p>
        <a:p>
          <a:r>
            <a:rPr lang="en-US" altLang="ko-KR" sz="1100">
              <a:solidFill>
                <a:srgbClr val="0000FF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   for</a:t>
          </a:r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(</a:t>
          </a:r>
          <a:r>
            <a:rPr lang="en-US" altLang="ko-KR" sz="1100">
              <a:solidFill>
                <a:srgbClr val="0000FF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int</a:t>
          </a:r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i = 0; i &lt; H; ++i) {</a:t>
          </a:r>
        </a:p>
        <a:p>
          <a:r>
            <a:rPr lang="en-US" altLang="ko-KR" sz="1100">
              <a:solidFill>
                <a:srgbClr val="0000FF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       for</a:t>
          </a:r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(</a:t>
          </a:r>
          <a:r>
            <a:rPr lang="en-US" altLang="ko-KR" sz="1100">
              <a:solidFill>
                <a:srgbClr val="0000FF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int</a:t>
          </a:r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j = 0; j &lt; W; ++j) {</a:t>
          </a:r>
        </a:p>
        <a:p>
          <a:r>
            <a:rPr lang="en-US" altLang="ko-KR" sz="1100">
              <a:solidFill>
                <a:srgbClr val="0000FF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           if</a:t>
          </a:r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(cmd == 0)      T[j][H - i - 1] = A[i][j];         </a:t>
          </a:r>
          <a:r>
            <a:rPr lang="en-US" altLang="ko-KR" sz="1100">
              <a:solidFill>
                <a:srgbClr val="008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// cw  90</a:t>
          </a:r>
          <a:r>
            <a:rPr lang="ko-KR" altLang="en-US" sz="1100">
              <a:solidFill>
                <a:srgbClr val="008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도 회전</a:t>
          </a:r>
          <a:endParaRPr lang="ko-KR" altLang="en-US" sz="1100">
            <a:solidFill>
              <a:srgbClr val="000000"/>
            </a:solidFill>
            <a:latin typeface="돋움체" panose="020B0609000101010101" pitchFamily="49" charset="-127"/>
            <a:ea typeface="돋움체" panose="020B0609000101010101" pitchFamily="49" charset="-127"/>
          </a:endParaRPr>
        </a:p>
        <a:p>
          <a:r>
            <a:rPr lang="en-US" altLang="ko-KR" sz="1100">
              <a:solidFill>
                <a:srgbClr val="0000FF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           else</a:t>
          </a:r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</a:t>
          </a:r>
          <a:r>
            <a:rPr lang="en-US" altLang="ko-KR" sz="1100">
              <a:solidFill>
                <a:srgbClr val="0000FF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if</a:t>
          </a:r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(cmd == 1) T[H - i - 1][W - j - 1] = A[i][j]; </a:t>
          </a:r>
          <a:r>
            <a:rPr lang="en-US" altLang="ko-KR" sz="1100">
              <a:solidFill>
                <a:srgbClr val="008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// cw 180</a:t>
          </a:r>
          <a:r>
            <a:rPr lang="ko-KR" altLang="en-US" sz="1100">
              <a:solidFill>
                <a:srgbClr val="008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도 회전</a:t>
          </a:r>
          <a:endParaRPr lang="ko-KR" altLang="en-US" sz="1100">
            <a:solidFill>
              <a:srgbClr val="000000"/>
            </a:solidFill>
            <a:latin typeface="돋움체" panose="020B0609000101010101" pitchFamily="49" charset="-127"/>
            <a:ea typeface="돋움체" panose="020B0609000101010101" pitchFamily="49" charset="-127"/>
          </a:endParaRPr>
        </a:p>
        <a:p>
          <a:r>
            <a:rPr lang="en-US" altLang="ko-KR" sz="1100">
              <a:solidFill>
                <a:srgbClr val="0000FF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           else</a:t>
          </a:r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</a:t>
          </a:r>
          <a:r>
            <a:rPr lang="en-US" altLang="ko-KR" sz="1100">
              <a:solidFill>
                <a:srgbClr val="0000FF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if</a:t>
          </a:r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(cmd == 2) T[W - j - 1][i] = A[i][j];         </a:t>
          </a:r>
          <a:r>
            <a:rPr lang="en-US" altLang="ko-KR" sz="1100">
              <a:solidFill>
                <a:srgbClr val="008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// cw 270</a:t>
          </a:r>
          <a:r>
            <a:rPr lang="ko-KR" altLang="en-US" sz="1100">
              <a:solidFill>
                <a:srgbClr val="008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도 회전</a:t>
          </a:r>
          <a:endParaRPr lang="ko-KR" altLang="en-US" sz="1100">
            <a:solidFill>
              <a:srgbClr val="000000"/>
            </a:solidFill>
            <a:latin typeface="돋움체" panose="020B0609000101010101" pitchFamily="49" charset="-127"/>
            <a:ea typeface="돋움체" panose="020B0609000101010101" pitchFamily="49" charset="-127"/>
          </a:endParaRPr>
        </a:p>
        <a:p>
          <a:r>
            <a:rPr lang="en-US" altLang="ko-KR" sz="1100">
              <a:solidFill>
                <a:srgbClr val="0000FF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          </a:t>
          </a:r>
          <a:r>
            <a:rPr lang="en-US" altLang="ko-KR" sz="1100" baseline="0">
              <a:solidFill>
                <a:srgbClr val="0000FF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</a:t>
          </a:r>
          <a:r>
            <a:rPr lang="en-US" altLang="ko-KR" sz="1100">
              <a:solidFill>
                <a:srgbClr val="0000FF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else</a:t>
          </a:r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</a:t>
          </a:r>
          <a:r>
            <a:rPr lang="en-US" altLang="ko-KR" sz="1100">
              <a:solidFill>
                <a:srgbClr val="0000FF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if</a:t>
          </a:r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(cmd == 3) T[H - i - 1][j] = A[i][j];         </a:t>
          </a:r>
          <a:r>
            <a:rPr lang="en-US" altLang="ko-KR" sz="1100">
              <a:solidFill>
                <a:srgbClr val="008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// </a:t>
          </a:r>
          <a:r>
            <a:rPr lang="ko-KR" altLang="en-US" sz="1100">
              <a:solidFill>
                <a:srgbClr val="008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상하 뒤집기</a:t>
          </a:r>
          <a:endParaRPr lang="ko-KR" altLang="en-US" sz="1100">
            <a:solidFill>
              <a:srgbClr val="000000"/>
            </a:solidFill>
            <a:latin typeface="돋움체" panose="020B0609000101010101" pitchFamily="49" charset="-127"/>
            <a:ea typeface="돋움체" panose="020B0609000101010101" pitchFamily="49" charset="-127"/>
          </a:endParaRPr>
        </a:p>
        <a:p>
          <a:r>
            <a:rPr lang="en-US" altLang="ko-KR" sz="1100">
              <a:solidFill>
                <a:srgbClr val="0000FF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           else</a:t>
          </a:r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              T[i][W - j - 1] = A[i][j];         </a:t>
          </a:r>
          <a:r>
            <a:rPr lang="en-US" altLang="ko-KR" sz="1100">
              <a:solidFill>
                <a:srgbClr val="008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// </a:t>
          </a:r>
          <a:r>
            <a:rPr lang="ko-KR" altLang="en-US" sz="1100">
              <a:solidFill>
                <a:srgbClr val="008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좌우 뒤집기</a:t>
          </a:r>
          <a:endParaRPr lang="ko-KR" altLang="en-US" sz="1100">
            <a:solidFill>
              <a:srgbClr val="000000"/>
            </a:solidFill>
            <a:latin typeface="돋움체" panose="020B0609000101010101" pitchFamily="49" charset="-127"/>
            <a:ea typeface="돋움체" panose="020B0609000101010101" pitchFamily="49" charset="-127"/>
          </a:endParaRPr>
        </a:p>
        <a:p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       }</a:t>
          </a:r>
        </a:p>
        <a:p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   }</a:t>
          </a:r>
        </a:p>
        <a:p>
          <a:r>
            <a:rPr lang="en-US" altLang="ko-KR" sz="1100">
              <a:solidFill>
                <a:srgbClr val="0000FF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   if</a:t>
          </a:r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(cmd == 0 || cmd == 2) {  </a:t>
          </a:r>
          <a:r>
            <a:rPr lang="en-US" altLang="ko-KR" sz="1100">
              <a:solidFill>
                <a:srgbClr val="008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// 90</a:t>
          </a:r>
          <a:r>
            <a:rPr lang="ko-KR" altLang="en-US" sz="1100">
              <a:solidFill>
                <a:srgbClr val="008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도</a:t>
          </a:r>
          <a:r>
            <a:rPr lang="en-US" altLang="ko-KR" sz="1100">
              <a:solidFill>
                <a:srgbClr val="008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, 270</a:t>
          </a:r>
          <a:r>
            <a:rPr lang="ko-KR" altLang="en-US" sz="1100">
              <a:solidFill>
                <a:srgbClr val="008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도의 경우 높이와 너비가 바뀐다</a:t>
          </a:r>
          <a:r>
            <a:rPr lang="en-US" altLang="ko-KR" sz="1100">
              <a:solidFill>
                <a:srgbClr val="008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.</a:t>
          </a:r>
          <a:endParaRPr lang="ko-KR" altLang="en-US" sz="1100">
            <a:solidFill>
              <a:srgbClr val="000000"/>
            </a:solidFill>
            <a:latin typeface="돋움체" panose="020B0609000101010101" pitchFamily="49" charset="-127"/>
            <a:ea typeface="돋움체" panose="020B0609000101010101" pitchFamily="49" charset="-127"/>
          </a:endParaRPr>
        </a:p>
        <a:p>
          <a:r>
            <a:rPr lang="en-US" altLang="ko-KR" sz="1100">
              <a:solidFill>
                <a:srgbClr val="0000FF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       int</a:t>
          </a:r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tmp = H; H = W; W = tmp; </a:t>
          </a:r>
          <a:r>
            <a:rPr lang="en-US" altLang="ko-KR" sz="1100">
              <a:solidFill>
                <a:srgbClr val="008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// *****</a:t>
          </a:r>
          <a:endParaRPr lang="en-US" altLang="ko-KR" sz="1100">
            <a:solidFill>
              <a:srgbClr val="000000"/>
            </a:solidFill>
            <a:latin typeface="돋움체" panose="020B0609000101010101" pitchFamily="49" charset="-127"/>
            <a:ea typeface="돋움체" panose="020B0609000101010101" pitchFamily="49" charset="-127"/>
          </a:endParaRPr>
        </a:p>
        <a:p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   }</a:t>
          </a:r>
        </a:p>
        <a:p>
          <a:r>
            <a:rPr lang="en-US" altLang="ko-KR" sz="1100">
              <a:solidFill>
                <a:srgbClr val="0000FF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   for</a:t>
          </a:r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(</a:t>
          </a:r>
          <a:r>
            <a:rPr lang="en-US" altLang="ko-KR" sz="1100">
              <a:solidFill>
                <a:srgbClr val="0000FF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int</a:t>
          </a:r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i = 0; i &lt; H; ++i) </a:t>
          </a:r>
        </a:p>
        <a:p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        T[i][W] = 0;  </a:t>
          </a:r>
          <a:r>
            <a:rPr lang="en-US" altLang="ko-KR" sz="1100">
              <a:solidFill>
                <a:srgbClr val="008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// </a:t>
          </a:r>
          <a:r>
            <a:rPr lang="ko-KR" altLang="en-US" sz="1100">
              <a:solidFill>
                <a:srgbClr val="008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각 행의 끝을 알리는 </a:t>
          </a:r>
          <a:r>
            <a:rPr lang="en-US" altLang="ko-KR" sz="1100">
              <a:solidFill>
                <a:srgbClr val="008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sentinel value</a:t>
          </a:r>
          <a:r>
            <a:rPr lang="ko-KR" altLang="en-US" sz="1100">
              <a:solidFill>
                <a:srgbClr val="008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로 마감 처리</a:t>
          </a:r>
          <a:endParaRPr lang="ko-KR" altLang="en-US" sz="1100">
            <a:solidFill>
              <a:srgbClr val="000000"/>
            </a:solidFill>
            <a:latin typeface="돋움체" panose="020B0609000101010101" pitchFamily="49" charset="-127"/>
            <a:ea typeface="돋움체" panose="020B0609000101010101" pitchFamily="49" charset="-127"/>
          </a:endParaRPr>
        </a:p>
        <a:p>
          <a:r>
            <a:rPr lang="en-US" altLang="ko-KR" sz="1100">
              <a:solidFill>
                <a:srgbClr val="000000"/>
              </a:solidFill>
              <a:latin typeface="돋움체" panose="020B0609000101010101" pitchFamily="49" charset="-127"/>
              <a:ea typeface="돋움체" panose="020B0609000101010101" pitchFamily="49" charset="-127"/>
            </a:rPr>
            <a:t>}</a:t>
          </a:r>
          <a:endParaRPr lang="en-US" altLang="ko-KR" sz="1100" baseline="0">
            <a:latin typeface="D2Coding" panose="020B0609020101020101" pitchFamily="49" charset="-127"/>
            <a:ea typeface="D2Coding" panose="020B0609020101020101" pitchFamily="49" charset="-127"/>
          </a:endParaRPr>
        </a:p>
      </xdr:txBody>
    </xdr:sp>
    <xdr:clientData/>
  </xdr:twoCellAnchor>
  <xdr:twoCellAnchor>
    <xdr:from>
      <xdr:col>14</xdr:col>
      <xdr:colOff>169545</xdr:colOff>
      <xdr:row>9</xdr:row>
      <xdr:rowOff>38099</xdr:rowOff>
    </xdr:from>
    <xdr:to>
      <xdr:col>29</xdr:col>
      <xdr:colOff>57150</xdr:colOff>
      <xdr:row>15</xdr:row>
      <xdr:rowOff>49529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7543BA8-A49C-3120-223B-0BCDFA70C92B}"/>
            </a:ext>
          </a:extLst>
        </xdr:cNvPr>
        <xdr:cNvSpPr txBox="1"/>
      </xdr:nvSpPr>
      <xdr:spPr>
        <a:xfrm>
          <a:off x="4551045" y="2609849"/>
          <a:ext cx="4030980" cy="17259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//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방법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swap(H, W);</a:t>
          </a:r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for(int i=0;i&lt;H;++i){</a:t>
          </a:r>
        </a:p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for(int j=0;j&lt;W;++j)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{</a:t>
          </a: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         T[i][j] = A[H-j-1][i];</a:t>
          </a: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   }</a:t>
          </a: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}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</xdr:colOff>
      <xdr:row>1</xdr:row>
      <xdr:rowOff>57151</xdr:rowOff>
    </xdr:from>
    <xdr:to>
      <xdr:col>14</xdr:col>
      <xdr:colOff>396240</xdr:colOff>
      <xdr:row>71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2ED29FB-0341-45B4-AA21-CED962A37C5C}"/>
            </a:ext>
          </a:extLst>
        </xdr:cNvPr>
        <xdr:cNvSpPr txBox="1"/>
      </xdr:nvSpPr>
      <xdr:spPr>
        <a:xfrm>
          <a:off x="605790" y="285751"/>
          <a:ext cx="8972550" cy="153447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UE :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무선통신에서 사용하는 용어로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user equipment(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사용자 단말기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의 약자라고 합니다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US" altLang="ko-KR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[</a:t>
          </a:r>
          <a:r>
            <a:rPr lang="ko-KR" alt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문제 구조</a:t>
          </a:r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]</a:t>
          </a:r>
          <a:endParaRPr lang="ko-KR" alt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1. 10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TC, TC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마다 데이터 생성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subTC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에서 계속사용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 2. batch_processing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문제</a:t>
          </a: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3.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안테나와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UE(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사용자 단말기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두 주인공이 등장한다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4.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배정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할당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문제</a:t>
          </a: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[</a:t>
          </a:r>
          <a:r>
            <a:rPr lang="ko-KR" alt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문제 개요</a:t>
          </a:r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]</a:t>
          </a:r>
          <a:endParaRPr lang="ko-KR" alt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1. 100 * 100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맵에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150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개의 안테나와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만개의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UE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가 랜덤하게 배치된다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단말기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(1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만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: 0 ~ 9999): (1)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좌표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, (2)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방향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평균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20%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만 방향을 갖는다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) (3)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방향이 있는 단말기는 이동한다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(4)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위치가 중복될 수 있다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안테나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(150 : 0 ~ 149) : (1)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좌표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, (2)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수용력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100, (3)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최대 전파가동범위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200,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안테나는 움직이지 않는다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(4)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위치가 중복될 수 있다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매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TC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별 처음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번 안테나 위치를 제공한다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매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subTC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마다 각 단말기는 어느 한 안테나에 배정되어 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배정되지 못한 단말기가 있는 경우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FAIL.</a:t>
          </a: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매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subTC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마다 각 안테나별 최대 전파가동범위를 구해야 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페널티를 받게 되면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TC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당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억의 벌점부과</a:t>
          </a:r>
          <a:endParaRPr lang="ko-KR" altLang="ko-KR">
            <a:effectLst/>
          </a:endParaRP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&lt;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페널티 기준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</a:t>
          </a:r>
          <a:endParaRPr lang="ko-KR" altLang="ko-KR">
            <a:effectLst/>
          </a:endParaRP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1)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각 안테나의 최대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range(200)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유효성</a:t>
          </a:r>
          <a:endParaRPr lang="ko-KR" altLang="ko-KR">
            <a:effectLst/>
          </a:endParaRP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2)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각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ue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에 할당된 안테나 번호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(0~149)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의 유효성</a:t>
          </a:r>
          <a:endParaRPr lang="ko-KR" altLang="ko-KR">
            <a:effectLst/>
          </a:endParaRP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3) 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각 안테나의 최대 수용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ue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수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(ANTENNA_CAPA = 100)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의 유효성</a:t>
          </a:r>
          <a:endParaRPr lang="ko-KR" altLang="ko-KR">
            <a:effectLst/>
          </a:endParaRP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4)  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유닛이 이동후 배정된 안테나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range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벗어나는</a:t>
          </a:r>
          <a:r>
            <a:rPr lang="ko-KR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경우 검사</a:t>
          </a:r>
          <a:endParaRPr lang="ko-KR" altLang="ko-KR">
            <a:effectLst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[</a:t>
          </a:r>
          <a:r>
            <a:rPr lang="ko-KR" alt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유저가 할일</a:t>
          </a:r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]</a:t>
          </a:r>
          <a:endParaRPr lang="ko-KR" alt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안테나위치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단말기의 위치를 받아</a:t>
          </a: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(1)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각 단말기에 안테나를 할당하라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(2)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안테나별 가동범위를 결정하라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단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이동하는 단말기의 이동범위를 고려하여 결정해야 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</a:t>
          </a:r>
          <a:r>
            <a:rPr lang="ko-KR" alt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안테나의 가동범위는 할당받은 단말기의 이동을 고려할 때 최대 이동범위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이다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안테나별 최대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100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개의 단말기를 할당받을 수 있다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매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subTC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마다 방향이 있는 단말기는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5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번 움직인다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 =&gt;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검사는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0~4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번까지만 수행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점수는 안테나별 가동범위제곱의 합으로 결정된다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</a:t>
          </a:r>
          <a:r>
            <a:rPr lang="ko-KR" alt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점수를 최소화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하시오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[</a:t>
          </a:r>
          <a:r>
            <a:rPr lang="ko-KR" alt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유저의 </a:t>
          </a:r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API</a:t>
          </a:r>
          <a:r>
            <a:rPr lang="ko-KR" alt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함수</a:t>
          </a:r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]</a:t>
          </a:r>
          <a:endParaRPr lang="ko-KR" alt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 1. init(antenna_list_bak)                                    : TC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별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번 호출</a:t>
          </a: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150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 안테나의 초기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2D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좌표가 주어진다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 2. scanUE(UE_list_bak, antenna_range, antenna_UE_connection) : subTC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별 호출</a:t>
          </a: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(1) 1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만개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UE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가 위치한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2D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좌표가 주어진다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     (2) antenna_range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에 안테나별 최대 전파 가동범위를 구하시오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     (3) antenna_UE_connection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에 각 단말기에 할당된 안테나 번호를 구하시오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[</a:t>
          </a:r>
          <a:r>
            <a:rPr lang="ko-KR" alt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점수 계산</a:t>
          </a:r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]</a:t>
          </a:r>
          <a:endParaRPr lang="ko-KR" alt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</a:t>
          </a:r>
          <a:r>
            <a:rPr lang="ko-KR" alt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안테나별 최대전파가동범위 제곱의 합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으로 점수를 계산한다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점수는 낮을 수록 좋다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[</a:t>
          </a:r>
          <a:r>
            <a:rPr lang="ko-KR" alt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문제 분석</a:t>
          </a:r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]</a:t>
          </a:r>
          <a:endParaRPr lang="ko-KR" alt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&lt;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데이터 분석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&gt;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랜덤하게 배치된 안테나와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UE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는 맵상에 어떻게 위치할까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? =&gt;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고른배치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?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한쪽으로 쏠린 배치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?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중복은 얼마나 많이 발생할까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?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&lt;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소스 분석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&gt;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안테나는 위치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최대전파가동범위 속성이 있다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UE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는 위치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방향 속성이 있다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altLang="ko-KR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 !!! </a:t>
          </a:r>
          <a:r>
            <a:rPr lang="ko-KR" altLang="en-US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그런데 유저에는 방향 속성을 알려주지 않는다</a:t>
          </a:r>
          <a:r>
            <a:rPr lang="en-US" altLang="ko-KR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. !!! =&gt; </a:t>
          </a:r>
          <a:r>
            <a:rPr lang="ko-KR" altLang="en-US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이를 문제해결에 사용할 수 있을까</a:t>
          </a:r>
          <a:r>
            <a:rPr lang="en-US" altLang="ko-KR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? </a:t>
          </a:r>
          <a:r>
            <a:rPr lang="ko-KR" altLang="en-US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어떻게</a:t>
          </a:r>
          <a:r>
            <a:rPr lang="en-US" altLang="ko-KR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?</a:t>
          </a:r>
          <a:endParaRPr lang="ko-KR" altLang="en-US" sz="1100" b="1" u="sng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US" altLang="ko-K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방향을 갖는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UE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는 매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subTC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마다 현재 방향으로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5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번 이동한다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!!! </a:t>
          </a:r>
          <a:r>
            <a:rPr lang="ko-KR" altLang="en-US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그런데 </a:t>
          </a:r>
          <a:r>
            <a:rPr lang="en-US" altLang="ko-KR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main.cpp</a:t>
          </a:r>
          <a:r>
            <a:rPr lang="ko-KR" altLang="en-US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의 </a:t>
          </a:r>
          <a:r>
            <a:rPr lang="en-US" altLang="ko-KR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run()</a:t>
          </a:r>
          <a:r>
            <a:rPr lang="ko-KR" altLang="en-US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에서 </a:t>
          </a:r>
          <a:r>
            <a:rPr lang="en-US" altLang="ko-KR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0</a:t>
          </a:r>
          <a:r>
            <a:rPr lang="ko-KR" altLang="en-US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번 </a:t>
          </a:r>
          <a:r>
            <a:rPr lang="en-US" altLang="ko-KR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~ 4</a:t>
          </a:r>
          <a:r>
            <a:rPr lang="ko-KR" altLang="en-US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번 이동한 경우만 유효성 체크를 한다</a:t>
          </a:r>
          <a:r>
            <a:rPr lang="en-US" altLang="ko-KR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.  !!! =&gt; </a:t>
          </a:r>
          <a:r>
            <a:rPr lang="ko-KR" altLang="en-US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의도된 것인가</a:t>
          </a:r>
          <a:r>
            <a:rPr lang="en-US" altLang="ko-KR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? </a:t>
          </a:r>
          <a:r>
            <a:rPr lang="ko-KR" altLang="en-US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이를 문제해결에 이용할 수 있을까</a:t>
          </a:r>
          <a:r>
            <a:rPr lang="en-US" altLang="ko-KR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?</a:t>
          </a:r>
          <a:endParaRPr lang="ko-KR" altLang="en-US" sz="1100" b="1" u="sng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UE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수는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만이고 안테나 전체 수용량은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150 * 100 = 15000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이므로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5000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개의 여유분이 있다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모든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UE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는 반드시 안테나에 할당되어야 하지만</a:t>
          </a: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어떤 안테나는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UE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를 할당받아도 상관없다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 =&gt;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이러한 경우가 있을까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?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&lt;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유효성 검사 분석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&gt;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(1)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안테나 가동범위는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0 ~ 200                =&gt;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당연한 검사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1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(2)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단말기별 할당받은 안테나 번호는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0 ~ 149  =&gt;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당연한 검사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2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(3)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안테나별 할당받은 단말기수는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0 ~ 100                                  =&gt;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고려해야 할 검사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1 !!!!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(4)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단말기가 할당된 안테나와의 맨해튼거리가 안테나 가동범위를 벗어나는가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? =&gt;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고려해야 할 검사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2 !!!!</a:t>
          </a:r>
          <a:endParaRPr lang="en-US" altLang="ko-KR">
            <a:latin typeface="D2Coding" panose="020B0609020101020101" pitchFamily="49" charset="-127"/>
            <a:ea typeface="D2Coding" panose="020B0609020101020101" pitchFamily="49" charset="-127"/>
          </a:endParaRPr>
        </a:p>
      </xdr:txBody>
    </xdr:sp>
    <xdr:clientData/>
  </xdr:twoCellAnchor>
  <xdr:twoCellAnchor>
    <xdr:from>
      <xdr:col>15</xdr:col>
      <xdr:colOff>323850</xdr:colOff>
      <xdr:row>1</xdr:row>
      <xdr:rowOff>57151</xdr:rowOff>
    </xdr:from>
    <xdr:to>
      <xdr:col>27</xdr:col>
      <xdr:colOff>381000</xdr:colOff>
      <xdr:row>70</xdr:row>
      <xdr:rowOff>67368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62BE8E-657E-FBF8-6C25-3C98DCDD4FCC}"/>
            </a:ext>
          </a:extLst>
        </xdr:cNvPr>
        <xdr:cNvSpPr txBox="1"/>
      </xdr:nvSpPr>
      <xdr:spPr>
        <a:xfrm>
          <a:off x="10108623" y="282287"/>
          <a:ext cx="8162059" cy="155446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[sketchCode00 </a:t>
          </a:r>
          <a:r>
            <a:rPr lang="ko-KR" alt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전략</a:t>
          </a:r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]</a:t>
          </a:r>
          <a:endParaRPr lang="ko-KR" alt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입력순으로 각 단말기가 안테나를 선택하는 전략</a:t>
          </a: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단말기별로 가장 가까운 안테나를 선택하기</a:t>
          </a: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3.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안테나 수용한계를 생각하지 않고 배정하기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제약조건을 축소하여 풀어보기</a:t>
          </a: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4.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안테나별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range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는 가장 먼 단말기까지 거리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+ 4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로 러프하게 정하기</a:t>
          </a: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SEED : 5   SCORE: 3086848(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전체 안테나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range + 5)</a:t>
          </a: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=&gt; 2683274(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전체 안테나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range + 4)</a:t>
          </a: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=&gt; 2681834(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유효 안테나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range + 4)</a:t>
          </a: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FAIL</a:t>
          </a:r>
        </a:p>
        <a:p>
          <a:pPr lvl="1"/>
          <a:endParaRPr lang="en-US" altLang="ko-KR"/>
        </a:p>
        <a:p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[sketchCode01 </a:t>
          </a:r>
          <a:r>
            <a:rPr lang="ko-KR" alt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전략</a:t>
          </a:r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]</a:t>
          </a:r>
          <a:endParaRPr lang="ko-KR" alt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입력순으로 각 단말기가 안테나를 선택하는 전략</a:t>
          </a: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단말기별로 가장 가까운 안테나를 선택하기</a:t>
          </a: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3.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안테나 수용한계를 생각여 배정하기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: ###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제약조건을 만족하는 결과 만들기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###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4.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유효 안테나를 대상으로            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######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안테나별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range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는 가장 먼 단말기까지 거리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+ 4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로 러프하게 정하기</a:t>
          </a:r>
        </a:p>
        <a:p>
          <a:pPr lvl="1"/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&lt;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관찰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&gt;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어떤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UE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도 할당받지 못한 안테나가 있는가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?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SEED : 5   SCORE: SCORE: 4808094</a:t>
          </a: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FAIL</a:t>
          </a:r>
        </a:p>
        <a:p>
          <a:pPr lvl="1"/>
          <a:endParaRPr lang="ko-KR" altLang="en-US"/>
        </a:p>
        <a:p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[sketchCode02 </a:t>
          </a:r>
          <a:r>
            <a:rPr lang="ko-KR" alt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전략</a:t>
          </a:r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]</a:t>
          </a:r>
          <a:endParaRPr lang="ko-KR" alt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단말기에 우선순위를 두어 안테나를 배정하기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#####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(1)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각 단말기별로 모든 안테나까지 거리를 구하고 </a:t>
          </a: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안테나들을 거리의 오름차순으로 정렬한다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(2)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단말기 아이디를 단말기와 가장 가까운 안테나 까지 거리의 오름차순으로 정렬한다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(3)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가장 가까운 안테나까지 거리가 가장 먼 단말기를 우선으로 안테나를 배정한다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이렇게 하는 경우 아래 예에서 최적해를 얻을 수 있기 때문이다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예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안테나 두대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단말기 두대가 주어지고 안테나별 수용량이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인 경우 예이다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단말기 번호 순서대로 단말기가 가장 가까이에 있는 안테나를 선택하는 경우</a:t>
          </a: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단말기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은 안테나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를 단말기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는 안테나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을 선택한다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          ant1.......................ue1...ant2...............ue2</a:t>
          </a:r>
        </a:p>
        <a:p>
          <a:pPr lvl="1"/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그러나 단말기에 우선순위를 준다면 단말기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가 먼저 선택할 수 있으므로 최적해를 구할 수 있다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&lt;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고찰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&gt;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반례가 있을수 있으나 일단 그리디하게 생각해 본다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 !!!!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단말기별로 가장 가까운 안테나에 배정하기</a:t>
          </a: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3.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안테나 수용한계를 생각하여 배정하기</a:t>
          </a: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4.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유효 안테나를 대상으로 </a:t>
          </a: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안테나별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range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는 가장 먼 단말기까지 거리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+ 4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로 러프하게 정하기</a:t>
          </a:r>
        </a:p>
        <a:p>
          <a:pPr lvl="1"/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SEED : 5   SCORE: SCORE: 4'117'288</a:t>
          </a: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FAIL</a:t>
          </a:r>
        </a:p>
        <a:p>
          <a:endParaRPr lang="en-US" altLang="ko-KR"/>
        </a:p>
        <a:p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[sketchCode03 </a:t>
          </a:r>
          <a:r>
            <a:rPr lang="ko-KR" alt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전략</a:t>
          </a:r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]</a:t>
          </a:r>
          <a:endParaRPr lang="ko-KR" alt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단말기에 우선순위를 두어 안테나를 배정하기</a:t>
          </a: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(1)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각 단말기별로 모든 안테나까지 거리를 구하고</a:t>
          </a: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안테나들을 거리의 오름차순으로 정렬한다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(2)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단말기 아이디를 단말기와 가장 가까운 안테나 까지 거리의 오름차순으로 정렬한다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(3)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가장 가까운 안테나까지 거리가 가장 먼 단말기를 우선으로 안테나를 배정한다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이렇게 하는 경우 아래 예에서 최적해를 얻을 수 있다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예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) ant1.......................ue1...ant2...............ue2</a:t>
          </a: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(4)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그런데 위 예제의 경우 아래와 같은 예제에서 반례를 발생시킨다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예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) ue1...ant2...............ue2.............................ant1</a:t>
          </a: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이를 보완 하기 위하여 각 단말기별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prior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를</a:t>
          </a: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각 단말기별 가장 가까운 안테나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TH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개의 거리제곱의 합으로 정의한다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      #####  sketchCode 02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전략을 보완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 #####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단말기별로 가장 가까운 안테나에 배정하기</a:t>
          </a: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3.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안테나 수용한계를 생각하여 배정하기</a:t>
          </a: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4.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유효 안테나를 대상으로</a:t>
          </a: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안테나별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range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는 가장 먼 단말기까지 거리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+ 4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로 러프하게 정하기</a:t>
          </a:r>
        </a:p>
        <a:p>
          <a:pPr lvl="1"/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SEED : 5   SCORE: SCORE: 3153940(std::sort), 3096240(custom_mergeSort)</a:t>
          </a: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FAIL</a:t>
          </a:r>
        </a:p>
        <a:p>
          <a:endParaRPr lang="en-US" altLang="ko-KR"/>
        </a:p>
        <a:p>
          <a:endParaRPr lang="en-US" altLang="ko-KR"/>
        </a:p>
      </xdr:txBody>
    </xdr:sp>
    <xdr:clientData/>
  </xdr:twoCellAnchor>
  <xdr:twoCellAnchor>
    <xdr:from>
      <xdr:col>28</xdr:col>
      <xdr:colOff>284884</xdr:colOff>
      <xdr:row>1</xdr:row>
      <xdr:rowOff>98020</xdr:rowOff>
    </xdr:from>
    <xdr:to>
      <xdr:col>51</xdr:col>
      <xdr:colOff>325062</xdr:colOff>
      <xdr:row>99</xdr:row>
      <xdr:rowOff>212480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ACF604A-B76C-40DC-B8F0-3E2BB30CFC5C}"/>
            </a:ext>
          </a:extLst>
        </xdr:cNvPr>
        <xdr:cNvSpPr txBox="1"/>
      </xdr:nvSpPr>
      <xdr:spPr>
        <a:xfrm>
          <a:off x="18616846" y="325155"/>
          <a:ext cx="15375428" cy="216556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[</a:t>
          </a:r>
          <a:r>
            <a:rPr lang="ko-KR" alt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해결 전략 </a:t>
          </a:r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1]</a:t>
          </a:r>
          <a:endParaRPr lang="ko-KR" alt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단말기에 우선순위를 두어 안테나를 배정하기</a:t>
          </a: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(1)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각 단말기별로 모든 안테나까지 거리를 구하고</a:t>
          </a: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안테나들을 거리의 오름차순으로 정렬한다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(2)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단말기 아이디를 단말기와 가장 가까운 안테나 까지 거리의 오름차순으로 정렬한다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(3)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가장 가까운 안테나까지 거리가 가장 먼 단말기를 우선으로 안테나를 배정한다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이렇게 하는 경우 아래 예에서 최적해를 얻을 수 있다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예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) ant1.......................ue1...ant2...............ue2</a:t>
          </a: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(4)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그런데 위 예제의 경우 아래와 같은 예제에서 반례를 발생시킨다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예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) ue1...ant2...............ue2.............................ant1</a:t>
          </a: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이를 보완 하기 위하여 각 단말기별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prior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를</a:t>
          </a: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각 단말기별 가장 가까운 안테나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TH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개의 거리제곱의 합으로 정의한다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단말기별로 가장 가까운 안테나에 배정하기</a:t>
          </a: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3.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안테나 수용한계를 생각하여 배정하기</a:t>
          </a:r>
        </a:p>
        <a:p>
          <a:pPr lvl="1"/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4.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스케치 코드에서는 단말기가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4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번 이동하는 동안 안테나의 가동범위를 벗어날 수 있으므로</a:t>
          </a: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모든 안테나의 가동범위를 일괄적으로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+4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만큼 증가시킨값으로 처리했다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그런데 다음과 같은 방법으로 처리한다면 안테나 가동범위를 조금더 세밀하게 설정할 수 있다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      #####  sketchCode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전략을 보완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 #####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(1)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첫번째 부분문제는 스케치코드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4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와 같이 실행한다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(2)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두번째 부분문제에서 각 단말기의 방향을 구한다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방향이 있는 단말기는 반드시 첫번째 위치와 두번째 위치가 다르기 때문에 방향을 구할 수 있다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이제 각 단말기의 방향을 이용하여 두번째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~ 10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번째 부분문제에서는</a:t>
          </a: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이동하는 단말기의 이동한 결과를 이용하여 각 안테나까지 거리를 계산한다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이동하는 단말기와 안테나 사이의 거리는 가장 먼거리로 정하면 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메인에서 안테나와 단말기 사이 거리를 이렇게 계산하기 때문이다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이를 이용하여 부분 문제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과 같은 방법으로 단말기의 우선순위를 정하고</a:t>
          </a: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우선순위 높은 단말기부터 안테나를 선택한다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두번째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~ 10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번째 부분문제에서는 모든 안테나에 일괄적으로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+4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하는 일을 하지 않으므로</a:t>
          </a: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약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100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만여 점을 절약하게 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고찰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]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점수는 안테나 가동범위 제곱의 합으로 계산된다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점수를 높이기 위하여 단말기 입장에서 가장 가까운 안테나를 선택하는 것이 최선일까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?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단말기가 안테나를 선택할 때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점수를 높이기 위한 다른 전략은 무엇이 있을까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?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SEED: 5   SCORE: 2'050'331</a:t>
          </a: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PASS</a:t>
          </a:r>
          <a:endParaRPr lang="en-US" altLang="ko-KR"/>
        </a:p>
        <a:p>
          <a:endParaRPr lang="en-US" altLang="ko-KR"/>
        </a:p>
        <a:p>
          <a:endParaRPr lang="en-US" altLang="ko-KR"/>
        </a:p>
        <a:p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[</a:t>
          </a:r>
          <a:r>
            <a:rPr lang="ko-KR" alt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해결 전략 </a:t>
          </a:r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2]</a:t>
          </a:r>
          <a:endParaRPr lang="ko-KR" alt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1. ~4.</a:t>
          </a:r>
          <a:r>
            <a:rPr lang="en-US" altLang="ko-K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[</a:t>
          </a:r>
          <a:r>
            <a:rPr lang="ko-KR" alt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해결전략 </a:t>
          </a:r>
          <a:r>
            <a:rPr lang="en-US" altLang="ko-K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1] </a:t>
          </a:r>
          <a:r>
            <a:rPr lang="ko-KR" alt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과 같다</a:t>
          </a:r>
          <a:r>
            <a:rPr lang="en-US" altLang="ko-K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5. [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해법 연구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1]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의 고찰을 반영한 버전이다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    #####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해법연구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을 보완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#####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단말기가 안테나를 선택할 때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수용공간이 남아 있는 안테나가 여럿인 경우</a:t>
          </a: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가능하면 안테나의 최대 범위를 확대하지 않는 안테나를 선택하는 것이다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예를 들어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ant1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과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ant2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모두 수용공간이 남아 있는데</a:t>
          </a: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  ant1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range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는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인 상황에서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ant1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까지 거리가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12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이고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,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  ant2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range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는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인 상황에서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ant2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까지 거리가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19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라면</a:t>
          </a: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단말기가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ant2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를 선택하도록 하는 것이다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고찰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]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  range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를 확장시키지 않는 안테나가 여러개라면 어떤 안테나를 선택하는 것이 더 좋을까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?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SEED: 5   SCORE: 2'050'331 =&gt; 1'814'342</a:t>
          </a: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PASS</a:t>
          </a:r>
          <a:endParaRPr lang="en-US" altLang="ko-KR"/>
        </a:p>
        <a:p>
          <a:endParaRPr lang="en-US" altLang="ko-KR"/>
        </a:p>
        <a:p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[</a:t>
          </a:r>
          <a:r>
            <a:rPr lang="ko-KR" alt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해결 전략 </a:t>
          </a:r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3]</a:t>
          </a:r>
          <a:endParaRPr lang="ko-KR" alt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1. ~5.</a:t>
          </a:r>
          <a:r>
            <a:rPr lang="en-US" altLang="ko-K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[</a:t>
          </a:r>
          <a:r>
            <a:rPr lang="ko-KR" alt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해결전략 </a:t>
          </a:r>
          <a:r>
            <a:rPr lang="en-US" altLang="ko-K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2]</a:t>
          </a:r>
          <a:r>
            <a:rPr lang="ko-KR" alt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와 같다</a:t>
          </a:r>
          <a:r>
            <a:rPr lang="en-US" altLang="ko-K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6. [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해법 연구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2]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의 고찰을 반영한 버전이다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       #####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해법연구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를 보완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#####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  range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를 확장시키지 않는 안테나가 여러개라면 여분의 공간이 많이 남아 있는 안테나를 선택한다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SEED: 5   SCORE: 2'050'331 =&gt; 1'814'342 =&gt; 1'758'474</a:t>
          </a: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PASS</a:t>
          </a:r>
        </a:p>
        <a:p>
          <a:endParaRPr lang="en-US" altLang="ko-K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US" altLang="ko-K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해결 전략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4]</a:t>
          </a:r>
          <a:endParaRPr lang="en-US" altLang="ko-K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~6.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[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해결전략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3]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와 같다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7.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가장 가까운 안테나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3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개까지 거리에 가중치를 더 많이 적용한 것이다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                             #####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해법연구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3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을 보완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#####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SEED: 5   SCORE: 2'050'331 =&gt; 1'814'342 =&gt; 1'758'474 =&gt; </a:t>
          </a:r>
        </a:p>
        <a:p>
          <a:pPr lvl="1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        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1'693'719(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최단 안테나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3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개에대하여 거리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3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제곱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) =&gt; 1'676'265 (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최단 안테나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3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개에대하여 거리 제곱 *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10)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PASS</a:t>
          </a:r>
          <a:endParaRPr lang="en-US" altLang="ko-KR" sz="16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US" altLang="ko-K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US" altLang="ko-K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[Summary]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할당문제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배정문제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, clustering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문제로 볼 수 있다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  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등장하는 주체를 파악하고 어느 주체를 중심으로 문제를 해결할 것인지 결정해야 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b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   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결정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-&gt;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실험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-&gt;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수정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-&gt;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실험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....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이 반복될 수 있다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문제의 틀이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TC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당 여러 개의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subTC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가 있는 문제에서</a:t>
          </a:r>
          <a:b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    TC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별로 생성되는 데이터를 여러개의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subTC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가 재사용하는 경우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,</a:t>
          </a:r>
          <a:b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   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첫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subTC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를 통해 추가적인 정보를 얻어 두번째 이후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subTC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에서 활용할수 있는가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?</a:t>
          </a:r>
        </a:p>
        <a:p>
          <a:endParaRPr lang="en-US" altLang="ko-K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3.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소스분석의 특징적인 부분을 문제해결에 활용할 수 있는가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?</a:t>
          </a:r>
        </a:p>
        <a:p>
          <a:endParaRPr lang="en-US" altLang="ko-KR"/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[고찰]</a:t>
          </a:r>
          <a:endParaRPr lang="ko-KR" altLang="ko-KR">
            <a:effectLst/>
          </a:endParaRP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UE의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우선순위를 고려할 때, 맵의 외곽에 있는 UE부터 배정하는 전략은 어떨까?</a:t>
          </a: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TC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마다 가변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정하기는 어떨까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=&gt;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시간이 오래 걸릴수 있다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안테나 입장에서 배정받은 유닛을 거리순으로 정렬하고</a:t>
          </a:r>
          <a:b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임의의 두 안테나가 서로 배정받은 유닛중 가장 먼 유닛을 바꾸어 점수를 향상시킬수 있다면 바꾸기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는 어떨까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</a:t>
          </a:r>
          <a:endParaRPr lang="en-US" altLang="ko-KR"/>
        </a:p>
        <a:p>
          <a:endParaRPr lang="en-US" altLang="ko-KR"/>
        </a:p>
        <a:p>
          <a:endParaRPr lang="en-US" altLang="ko-KR"/>
        </a:p>
      </xdr:txBody>
    </xdr:sp>
    <xdr:clientData/>
  </xdr:twoCellAnchor>
  <xdr:twoCellAnchor>
    <xdr:from>
      <xdr:col>12</xdr:col>
      <xdr:colOff>430674</xdr:colOff>
      <xdr:row>74</xdr:row>
      <xdr:rowOff>93636</xdr:rowOff>
    </xdr:from>
    <xdr:to>
      <xdr:col>14</xdr:col>
      <xdr:colOff>210868</xdr:colOff>
      <xdr:row>78</xdr:row>
      <xdr:rowOff>131884</xdr:rowOff>
    </xdr:to>
    <xdr:sp macro="" textlink="">
      <xdr:nvSpPr>
        <xdr:cNvPr id="5" name="화살표: 오른쪽 4">
          <a:extLst>
            <a:ext uri="{FF2B5EF4-FFF2-40B4-BE49-F238E27FC236}">
              <a16:creationId xmlns:a16="http://schemas.microsoft.com/office/drawing/2014/main" id="{8759F74B-DEAC-0840-17A0-E83ECBDFAA18}"/>
            </a:ext>
          </a:extLst>
        </xdr:cNvPr>
        <xdr:cNvSpPr/>
      </xdr:nvSpPr>
      <xdr:spPr>
        <a:xfrm>
          <a:off x="8277809" y="16366732"/>
          <a:ext cx="1113694" cy="91747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400"/>
            <a:t>1</a:t>
          </a:r>
          <a:endParaRPr lang="ko-KR" altLang="en-US" sz="2400"/>
        </a:p>
      </xdr:txBody>
    </xdr:sp>
    <xdr:clientData/>
  </xdr:twoCellAnchor>
  <xdr:twoCellAnchor>
    <xdr:from>
      <xdr:col>11</xdr:col>
      <xdr:colOff>331323</xdr:colOff>
      <xdr:row>77</xdr:row>
      <xdr:rowOff>150056</xdr:rowOff>
    </xdr:from>
    <xdr:to>
      <xdr:col>12</xdr:col>
      <xdr:colOff>587766</xdr:colOff>
      <xdr:row>81</xdr:row>
      <xdr:rowOff>195629</xdr:rowOff>
    </xdr:to>
    <xdr:sp macro="" textlink="">
      <xdr:nvSpPr>
        <xdr:cNvPr id="6" name="화살표: 아래쪽 5">
          <a:extLst>
            <a:ext uri="{FF2B5EF4-FFF2-40B4-BE49-F238E27FC236}">
              <a16:creationId xmlns:a16="http://schemas.microsoft.com/office/drawing/2014/main" id="{456019DB-61D9-93B0-FF2A-3F50DB21806D}"/>
            </a:ext>
          </a:extLst>
        </xdr:cNvPr>
        <xdr:cNvSpPr/>
      </xdr:nvSpPr>
      <xdr:spPr>
        <a:xfrm>
          <a:off x="7511708" y="17082575"/>
          <a:ext cx="923193" cy="924804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400"/>
            <a:t>0</a:t>
          </a:r>
          <a:endParaRPr lang="ko-KR" altLang="en-US" sz="2400"/>
        </a:p>
      </xdr:txBody>
    </xdr:sp>
    <xdr:clientData/>
  </xdr:twoCellAnchor>
  <xdr:twoCellAnchor>
    <xdr:from>
      <xdr:col>11</xdr:col>
      <xdr:colOff>346271</xdr:colOff>
      <xdr:row>71</xdr:row>
      <xdr:rowOff>23886</xdr:rowOff>
    </xdr:from>
    <xdr:to>
      <xdr:col>12</xdr:col>
      <xdr:colOff>639347</xdr:colOff>
      <xdr:row>75</xdr:row>
      <xdr:rowOff>82208</xdr:rowOff>
    </xdr:to>
    <xdr:sp macro="" textlink="">
      <xdr:nvSpPr>
        <xdr:cNvPr id="7" name="화살표: 위쪽 6">
          <a:extLst>
            <a:ext uri="{FF2B5EF4-FFF2-40B4-BE49-F238E27FC236}">
              <a16:creationId xmlns:a16="http://schemas.microsoft.com/office/drawing/2014/main" id="{6B3839FF-4681-75B7-8440-7DAB274E3D53}"/>
            </a:ext>
          </a:extLst>
        </xdr:cNvPr>
        <xdr:cNvSpPr/>
      </xdr:nvSpPr>
      <xdr:spPr>
        <a:xfrm>
          <a:off x="7526656" y="15637559"/>
          <a:ext cx="959826" cy="937553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400"/>
            <a:t>2</a:t>
          </a:r>
          <a:endParaRPr lang="ko-KR" altLang="en-US" sz="2400"/>
        </a:p>
      </xdr:txBody>
    </xdr:sp>
    <xdr:clientData/>
  </xdr:twoCellAnchor>
  <xdr:twoCellAnchor>
    <xdr:from>
      <xdr:col>10</xdr:col>
      <xdr:colOff>106094</xdr:colOff>
      <xdr:row>74</xdr:row>
      <xdr:rowOff>91440</xdr:rowOff>
    </xdr:from>
    <xdr:to>
      <xdr:col>11</xdr:col>
      <xdr:colOff>468923</xdr:colOff>
      <xdr:row>78</xdr:row>
      <xdr:rowOff>201344</xdr:rowOff>
    </xdr:to>
    <xdr:sp macro="" textlink="">
      <xdr:nvSpPr>
        <xdr:cNvPr id="8" name="화살표: 왼쪽 7">
          <a:extLst>
            <a:ext uri="{FF2B5EF4-FFF2-40B4-BE49-F238E27FC236}">
              <a16:creationId xmlns:a16="http://schemas.microsoft.com/office/drawing/2014/main" id="{F3BA2DD8-999F-329A-FB72-2F96049DB9B4}"/>
            </a:ext>
          </a:extLst>
        </xdr:cNvPr>
        <xdr:cNvSpPr/>
      </xdr:nvSpPr>
      <xdr:spPr>
        <a:xfrm>
          <a:off x="6619729" y="16364536"/>
          <a:ext cx="1029579" cy="98913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400"/>
            <a:t>3</a:t>
          </a:r>
          <a:endParaRPr lang="ko-KR" altLang="en-US" sz="2400"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25804</xdr:colOff>
      <xdr:row>84</xdr:row>
      <xdr:rowOff>66260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72CF2A3-B059-464E-AD09-DF0A6435B0E8}"/>
            </a:ext>
          </a:extLst>
        </xdr:cNvPr>
        <xdr:cNvSpPr txBox="1"/>
      </xdr:nvSpPr>
      <xdr:spPr>
        <a:xfrm>
          <a:off x="514350" y="228600"/>
          <a:ext cx="6689494" cy="182475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b="1"/>
            <a:t>[</a:t>
          </a:r>
          <a:r>
            <a:rPr lang="ko-KR" altLang="en-US" b="1"/>
            <a:t>문제 구조</a:t>
          </a:r>
          <a:r>
            <a:rPr lang="en-US" altLang="ko-KR" b="1"/>
            <a:t>]</a:t>
          </a:r>
          <a:endParaRPr lang="ko-KR" altLang="en-US"/>
        </a:p>
        <a:p>
          <a:r>
            <a:rPr lang="ko-KR" altLang="en-US"/>
            <a:t>  </a:t>
          </a:r>
          <a:r>
            <a:rPr lang="en-US" altLang="ko-KR"/>
            <a:t>1. TC</a:t>
          </a:r>
          <a:r>
            <a:rPr lang="ko-KR" altLang="en-US"/>
            <a:t>가 </a:t>
          </a:r>
          <a:r>
            <a:rPr lang="en-US" altLang="ko-KR"/>
            <a:t>1</a:t>
          </a:r>
          <a:r>
            <a:rPr lang="ko-KR" altLang="en-US"/>
            <a:t>개뿐</a:t>
          </a:r>
          <a:r>
            <a:rPr lang="en-US" altLang="ko-KR"/>
            <a:t>(subTC</a:t>
          </a:r>
          <a:r>
            <a:rPr lang="ko-KR" altLang="en-US"/>
            <a:t>가 없다</a:t>
          </a:r>
          <a:r>
            <a:rPr lang="en-US" altLang="ko-KR"/>
            <a:t>)</a:t>
          </a:r>
          <a:r>
            <a:rPr lang="ko-KR" altLang="en-US"/>
            <a:t>인 문제이다</a:t>
          </a:r>
          <a:r>
            <a:rPr lang="en-US" altLang="ko-KR"/>
            <a:t>. =&gt; </a:t>
          </a:r>
          <a:r>
            <a:rPr lang="ko-KR" altLang="en-US"/>
            <a:t>안테나배정과 대비된다</a:t>
          </a:r>
          <a:r>
            <a:rPr lang="en-US" altLang="ko-KR"/>
            <a:t>.(</a:t>
          </a:r>
          <a:r>
            <a:rPr lang="ko-KR" altLang="en-US"/>
            <a:t>문제의 다양성</a:t>
          </a:r>
          <a:r>
            <a:rPr lang="en-US" altLang="ko-KR"/>
            <a:t>)</a:t>
          </a:r>
        </a:p>
        <a:p>
          <a:r>
            <a:rPr lang="en-US" altLang="ko-KR"/>
            <a:t>  2. interactive </a:t>
          </a:r>
          <a:r>
            <a:rPr lang="ko-KR" altLang="en-US"/>
            <a:t>문제이다</a:t>
          </a:r>
          <a:r>
            <a:rPr lang="en-US" altLang="ko-KR"/>
            <a:t>.</a:t>
          </a:r>
        </a:p>
        <a:p>
          <a:r>
            <a:rPr lang="en-US" altLang="ko-KR"/>
            <a:t>     main</a:t>
          </a:r>
          <a:r>
            <a:rPr lang="ko-KR" altLang="en-US"/>
            <a:t>에 있는 트럭을 이용하여</a:t>
          </a:r>
          <a:r>
            <a:rPr lang="en-US" altLang="ko-KR"/>
            <a:t>, main</a:t>
          </a:r>
          <a:r>
            <a:rPr lang="ko-KR" altLang="en-US"/>
            <a:t>에 있는 센터에서 물품을 적재한 후</a:t>
          </a:r>
          <a:r>
            <a:rPr lang="en-US" altLang="ko-KR"/>
            <a:t>, main</a:t>
          </a:r>
          <a:r>
            <a:rPr lang="ko-KR" altLang="en-US"/>
            <a:t>에 있는 배송지에 배송한다</a:t>
          </a:r>
          <a:r>
            <a:rPr lang="en-US" altLang="ko-KR"/>
            <a:t>.</a:t>
          </a:r>
        </a:p>
        <a:p>
          <a:r>
            <a:rPr lang="en-US" altLang="ko-KR"/>
            <a:t>     &lt;</a:t>
          </a:r>
          <a:r>
            <a:rPr lang="ko-KR" altLang="en-US"/>
            <a:t>이러한 문제의 경우 일반적인 처리방법</a:t>
          </a:r>
          <a:r>
            <a:rPr lang="en-US" altLang="ko-KR"/>
            <a:t>&gt;</a:t>
          </a:r>
        </a:p>
        <a:p>
          <a:r>
            <a:rPr lang="en-US" altLang="ko-KR"/>
            <a:t>       : user.cpp</a:t>
          </a:r>
          <a:r>
            <a:rPr lang="ko-KR" altLang="en-US"/>
            <a:t>에 </a:t>
          </a:r>
          <a:r>
            <a:rPr lang="en-US" altLang="ko-KR"/>
            <a:t>main.cpp</a:t>
          </a:r>
          <a:r>
            <a:rPr lang="ko-KR" altLang="en-US"/>
            <a:t>의 아바타 트럭</a:t>
          </a:r>
          <a:r>
            <a:rPr lang="en-US" altLang="ko-KR"/>
            <a:t>, </a:t>
          </a:r>
          <a:r>
            <a:rPr lang="ko-KR" altLang="en-US"/>
            <a:t>센터</a:t>
          </a:r>
          <a:r>
            <a:rPr lang="en-US" altLang="ko-KR"/>
            <a:t>, </a:t>
          </a:r>
          <a:r>
            <a:rPr lang="ko-KR" altLang="en-US"/>
            <a:t>배송지를 준비하여 </a:t>
          </a:r>
          <a:r>
            <a:rPr lang="en-US" altLang="ko-KR"/>
            <a:t>main</a:t>
          </a:r>
          <a:r>
            <a:rPr lang="ko-KR" altLang="en-US"/>
            <a:t>과 동시에 움직인다</a:t>
          </a:r>
          <a:r>
            <a:rPr lang="en-US" altLang="ko-KR"/>
            <a:t>.</a:t>
          </a:r>
        </a:p>
        <a:p>
          <a:r>
            <a:rPr lang="en-US" altLang="ko-KR"/>
            <a:t>       : </a:t>
          </a:r>
          <a:r>
            <a:rPr lang="ko-KR" altLang="en-US"/>
            <a:t>기출예제 문제 </a:t>
          </a:r>
          <a:r>
            <a:rPr lang="en-US" altLang="ko-KR"/>
            <a:t>[</a:t>
          </a:r>
          <a:r>
            <a:rPr lang="ko-KR" altLang="en-US"/>
            <a:t>로봇청소기</a:t>
          </a:r>
          <a:r>
            <a:rPr lang="en-US" altLang="ko-KR"/>
            <a:t>4]</a:t>
          </a:r>
        </a:p>
        <a:p>
          <a:r>
            <a:rPr lang="en-US" altLang="ko-KR"/>
            <a:t>  3. </a:t>
          </a:r>
          <a:r>
            <a:rPr lang="ko-KR" altLang="en-US"/>
            <a:t>센터</a:t>
          </a:r>
          <a:r>
            <a:rPr lang="en-US" altLang="ko-KR"/>
            <a:t>, </a:t>
          </a:r>
          <a:r>
            <a:rPr lang="ko-KR" altLang="en-US"/>
            <a:t>물품</a:t>
          </a:r>
          <a:r>
            <a:rPr lang="en-US" altLang="ko-KR"/>
            <a:t>, </a:t>
          </a:r>
          <a:r>
            <a:rPr lang="ko-KR" altLang="en-US"/>
            <a:t>트럭</a:t>
          </a:r>
          <a:r>
            <a:rPr lang="en-US" altLang="ko-KR"/>
            <a:t>, </a:t>
          </a:r>
          <a:r>
            <a:rPr lang="ko-KR" altLang="en-US"/>
            <a:t>배송지 라는 주체가 등장한다</a:t>
          </a:r>
          <a:r>
            <a:rPr lang="en-US" altLang="ko-KR"/>
            <a:t>.</a:t>
          </a:r>
        </a:p>
        <a:p>
          <a:r>
            <a:rPr lang="ko-KR" altLang="en-US"/>
            <a:t>      센터</a:t>
          </a:r>
          <a:r>
            <a:rPr lang="en-US" altLang="ko-KR"/>
            <a:t>, </a:t>
          </a:r>
          <a:r>
            <a:rPr lang="ko-KR" altLang="en-US"/>
            <a:t>트럭</a:t>
          </a:r>
          <a:r>
            <a:rPr lang="en-US" altLang="ko-KR"/>
            <a:t>, </a:t>
          </a:r>
          <a:r>
            <a:rPr lang="ko-KR" altLang="en-US"/>
            <a:t>배송지 주체가 물품을 매개로 연결성을 가진다</a:t>
          </a:r>
          <a:r>
            <a:rPr lang="en-US" altLang="ko-KR"/>
            <a:t>.</a:t>
          </a:r>
        </a:p>
        <a:p>
          <a:r>
            <a:rPr lang="en-US" altLang="ko-KR" b="1"/>
            <a:t>[</a:t>
          </a:r>
          <a:r>
            <a:rPr lang="ko-KR" altLang="en-US" b="1"/>
            <a:t>문제 개요</a:t>
          </a:r>
          <a:r>
            <a:rPr lang="en-US" altLang="ko-KR" b="1"/>
            <a:t>]</a:t>
          </a:r>
          <a:endParaRPr lang="ko-KR" altLang="en-US"/>
        </a:p>
        <a:p>
          <a:r>
            <a:rPr lang="ko-KR" altLang="en-US"/>
            <a:t>  </a:t>
          </a:r>
          <a:r>
            <a:rPr lang="en-US" altLang="ko-KR"/>
            <a:t>1000*1000 </a:t>
          </a:r>
          <a:r>
            <a:rPr lang="ko-KR" altLang="en-US"/>
            <a:t>맵이 주어진다</a:t>
          </a:r>
          <a:r>
            <a:rPr lang="en-US" altLang="ko-KR"/>
            <a:t>.</a:t>
          </a:r>
        </a:p>
        <a:p>
          <a:r>
            <a:rPr lang="en-US" altLang="ko-KR"/>
            <a:t>  1. </a:t>
          </a:r>
          <a:r>
            <a:rPr lang="ko-KR" altLang="en-US"/>
            <a:t>센터 </a:t>
          </a:r>
          <a:r>
            <a:rPr lang="en-US" altLang="ko-KR"/>
            <a:t>: 1000</a:t>
          </a:r>
          <a:r>
            <a:rPr lang="ko-KR" altLang="en-US"/>
            <a:t>개</a:t>
          </a:r>
          <a:r>
            <a:rPr lang="en-US" altLang="ko-KR"/>
            <a:t>, </a:t>
          </a:r>
          <a:r>
            <a:rPr lang="ko-KR" altLang="en-US"/>
            <a:t>중복되지 않도록 램덤하게 배치된다</a:t>
          </a:r>
          <a:r>
            <a:rPr lang="en-US" altLang="ko-KR"/>
            <a:t>.</a:t>
          </a:r>
        </a:p>
        <a:p>
          <a:r>
            <a:rPr lang="en-US" altLang="ko-KR"/>
            <a:t>    (1) 2</a:t>
          </a:r>
          <a:r>
            <a:rPr lang="ko-KR" altLang="en-US"/>
            <a:t>차원 좌표와 아이디</a:t>
          </a:r>
          <a:r>
            <a:rPr lang="en-US" altLang="ko-KR"/>
            <a:t>(0~999)</a:t>
          </a:r>
          <a:r>
            <a:rPr lang="ko-KR" altLang="en-US"/>
            <a:t>를 갖는다</a:t>
          </a:r>
          <a:r>
            <a:rPr lang="en-US" altLang="ko-KR"/>
            <a:t>.</a:t>
          </a:r>
        </a:p>
        <a:p>
          <a:r>
            <a:rPr lang="en-US" altLang="ko-KR"/>
            <a:t>    (2) </a:t>
          </a:r>
          <a:r>
            <a:rPr lang="ko-KR" altLang="en-US"/>
            <a:t>하나의 센터는 </a:t>
          </a:r>
          <a:r>
            <a:rPr lang="en-US" altLang="ko-KR"/>
            <a:t>10000</a:t>
          </a:r>
          <a:r>
            <a:rPr lang="ko-KR" altLang="en-US"/>
            <a:t>개의 물품중에 </a:t>
          </a:r>
          <a:r>
            <a:rPr lang="en-US" altLang="ko-KR"/>
            <a:t>{</a:t>
          </a:r>
          <a:r>
            <a:rPr lang="ko-KR" altLang="en-US"/>
            <a:t>물품번호</a:t>
          </a:r>
          <a:r>
            <a:rPr lang="en-US" altLang="ko-KR"/>
            <a:t>, </a:t>
          </a:r>
          <a:r>
            <a:rPr lang="ko-KR" altLang="en-US"/>
            <a:t>개수</a:t>
          </a:r>
          <a:r>
            <a:rPr lang="en-US" altLang="ko-KR"/>
            <a:t>(1~100)} </a:t>
          </a:r>
          <a:r>
            <a:rPr lang="ko-KR" altLang="en-US"/>
            <a:t>목록을 </a:t>
          </a:r>
          <a:r>
            <a:rPr lang="en-US" altLang="ko-KR"/>
            <a:t>1~100</a:t>
          </a:r>
          <a:r>
            <a:rPr lang="ko-KR" altLang="en-US"/>
            <a:t>개 갖는다</a:t>
          </a:r>
          <a:r>
            <a:rPr lang="en-US" altLang="ko-KR"/>
            <a:t>.</a:t>
          </a:r>
        </a:p>
        <a:p>
          <a:r>
            <a:rPr lang="en-US" altLang="ko-KR"/>
            <a:t>    </a:t>
          </a:r>
          <a:r>
            <a:rPr lang="ko-KR" altLang="en-US"/>
            <a:t>따라서 최대 </a:t>
          </a:r>
          <a:r>
            <a:rPr lang="en-US" altLang="ko-KR"/>
            <a:t>1~10000</a:t>
          </a:r>
          <a:r>
            <a:rPr lang="ko-KR" altLang="en-US"/>
            <a:t>개의 물품을 배정받을 수 있다</a:t>
          </a:r>
          <a:r>
            <a:rPr lang="en-US" altLang="ko-KR"/>
            <a:t>.</a:t>
          </a:r>
        </a:p>
        <a:p>
          <a:r>
            <a:rPr lang="en-US" altLang="ko-KR"/>
            <a:t>  2. </a:t>
          </a:r>
          <a:r>
            <a:rPr lang="ko-KR" altLang="en-US"/>
            <a:t>물품 </a:t>
          </a:r>
          <a:r>
            <a:rPr lang="en-US" altLang="ko-KR"/>
            <a:t>: 10000</a:t>
          </a:r>
          <a:r>
            <a:rPr lang="ko-KR" altLang="en-US"/>
            <a:t>개 종류가 있다</a:t>
          </a:r>
          <a:r>
            <a:rPr lang="en-US" altLang="ko-KR"/>
            <a:t>.       </a:t>
          </a:r>
          <a:r>
            <a:rPr lang="ko-KR" altLang="en-US"/>
            <a:t>아이디</a:t>
          </a:r>
          <a:r>
            <a:rPr lang="en-US" altLang="ko-KR"/>
            <a:t>(0~9999)</a:t>
          </a:r>
          <a:r>
            <a:rPr lang="ko-KR" altLang="en-US"/>
            <a:t>를 갖는다</a:t>
          </a:r>
          <a:r>
            <a:rPr lang="en-US" altLang="ko-KR"/>
            <a:t>.</a:t>
          </a:r>
        </a:p>
        <a:p>
          <a:r>
            <a:rPr lang="en-US" altLang="ko-KR"/>
            <a:t>  3. </a:t>
          </a:r>
          <a:r>
            <a:rPr lang="ko-KR" altLang="en-US"/>
            <a:t>트럭 </a:t>
          </a:r>
          <a:r>
            <a:rPr lang="en-US" altLang="ko-KR"/>
            <a:t>:</a:t>
          </a:r>
        </a:p>
        <a:p>
          <a:r>
            <a:rPr lang="en-US" altLang="ko-KR"/>
            <a:t>    (1) </a:t>
          </a:r>
          <a:r>
            <a:rPr lang="ko-KR" altLang="en-US"/>
            <a:t>좌표를 갖는다</a:t>
          </a:r>
          <a:r>
            <a:rPr lang="en-US" altLang="ko-KR"/>
            <a:t>.</a:t>
          </a:r>
        </a:p>
        <a:p>
          <a:r>
            <a:rPr lang="en-US" altLang="ko-KR"/>
            <a:t>    (2) </a:t>
          </a:r>
          <a:r>
            <a:rPr lang="ko-KR" altLang="en-US"/>
            <a:t>최대 </a:t>
          </a:r>
          <a:r>
            <a:rPr lang="en-US" altLang="ko-KR"/>
            <a:t>50</a:t>
          </a:r>
          <a:r>
            <a:rPr lang="ko-KR" altLang="en-US"/>
            <a:t>개를 적재할 공간을 갖는다</a:t>
          </a:r>
          <a:r>
            <a:rPr lang="en-US" altLang="ko-KR"/>
            <a:t>.</a:t>
          </a:r>
        </a:p>
        <a:p>
          <a:r>
            <a:rPr lang="en-US" altLang="ko-KR"/>
            <a:t>    (3) </a:t>
          </a:r>
          <a:r>
            <a:rPr lang="ko-KR" altLang="en-US"/>
            <a:t>물품을 맨해튼 거리로 배송할 때 사용된다</a:t>
          </a:r>
          <a:r>
            <a:rPr lang="en-US" altLang="ko-KR"/>
            <a:t>.</a:t>
          </a:r>
        </a:p>
        <a:p>
          <a:r>
            <a:rPr lang="en-US" altLang="ko-KR"/>
            <a:t>  4. </a:t>
          </a:r>
          <a:r>
            <a:rPr lang="ko-KR" altLang="en-US"/>
            <a:t>배송지 </a:t>
          </a:r>
          <a:r>
            <a:rPr lang="en-US" altLang="ko-KR"/>
            <a:t>: 1</a:t>
          </a:r>
          <a:r>
            <a:rPr lang="ko-KR" altLang="en-US"/>
            <a:t>백만개가 있다</a:t>
          </a:r>
          <a:r>
            <a:rPr lang="en-US" altLang="ko-KR"/>
            <a:t>.</a:t>
          </a:r>
        </a:p>
        <a:p>
          <a:r>
            <a:rPr lang="en-US" altLang="ko-KR"/>
            <a:t>    (1) </a:t>
          </a:r>
          <a:r>
            <a:rPr lang="ko-KR" altLang="en-US"/>
            <a:t>좌표</a:t>
          </a:r>
          <a:r>
            <a:rPr lang="en-US" altLang="ko-KR"/>
            <a:t>(</a:t>
          </a:r>
          <a:r>
            <a:rPr lang="ko-KR" altLang="en-US"/>
            <a:t>중복가능</a:t>
          </a:r>
          <a:r>
            <a:rPr lang="en-US" altLang="ko-KR"/>
            <a:t>)</a:t>
          </a:r>
          <a:r>
            <a:rPr lang="ko-KR" altLang="en-US"/>
            <a:t>와 아이디</a:t>
          </a:r>
          <a:r>
            <a:rPr lang="en-US" altLang="ko-KR"/>
            <a:t>(0~999999)</a:t>
          </a:r>
          <a:r>
            <a:rPr lang="ko-KR" altLang="en-US"/>
            <a:t>를 갖는다</a:t>
          </a:r>
          <a:r>
            <a:rPr lang="en-US" altLang="ko-KR"/>
            <a:t>.</a:t>
          </a:r>
        </a:p>
        <a:p>
          <a:r>
            <a:rPr lang="en-US" altLang="ko-KR"/>
            <a:t>    (2) </a:t>
          </a:r>
          <a:r>
            <a:rPr lang="ko-KR" altLang="en-US"/>
            <a:t>받고자 하는 물품 하나의 아이디를 배정받는다</a:t>
          </a:r>
          <a:r>
            <a:rPr lang="en-US" altLang="ko-KR"/>
            <a:t>.</a:t>
          </a:r>
        </a:p>
        <a:p>
          <a:r>
            <a:rPr lang="en-US" altLang="ko-KR"/>
            <a:t>        =&gt; </a:t>
          </a:r>
          <a:r>
            <a:rPr lang="ko-KR" altLang="en-US"/>
            <a:t>하나의 배송지가 여러 개를 받을 수 있는가</a:t>
          </a:r>
          <a:r>
            <a:rPr lang="en-US" altLang="ko-KR"/>
            <a:t>? =&gt; </a:t>
          </a:r>
          <a:r>
            <a:rPr lang="ko-KR" altLang="en-US"/>
            <a:t>좌표가 중복생성되는 것을 통하여 가능하다</a:t>
          </a:r>
          <a:r>
            <a:rPr lang="en-US" altLang="ko-KR"/>
            <a:t>.</a:t>
          </a:r>
        </a:p>
        <a:p>
          <a:r>
            <a:rPr lang="en-US" altLang="ko-KR"/>
            <a:t>  5. </a:t>
          </a:r>
          <a:r>
            <a:rPr lang="ko-KR" altLang="en-US"/>
            <a:t>최종 유효성 검사</a:t>
          </a:r>
        </a:p>
        <a:p>
          <a:r>
            <a:rPr lang="ko-KR" altLang="en-US"/>
            <a:t>    </a:t>
          </a:r>
          <a:r>
            <a:rPr lang="en-US" altLang="ko-KR"/>
            <a:t>: </a:t>
          </a:r>
          <a:r>
            <a:rPr lang="ko-KR" altLang="en-US"/>
            <a:t>모든 배송지에는 배송지가 원하는 물품이 반드시 배송완료 되어야한다</a:t>
          </a:r>
          <a:r>
            <a:rPr lang="en-US" altLang="ko-KR"/>
            <a:t>.</a:t>
          </a:r>
        </a:p>
        <a:p>
          <a:r>
            <a:rPr lang="en-US" altLang="ko-KR"/>
            <a:t>    : </a:t>
          </a:r>
          <a:r>
            <a:rPr lang="ko-KR" altLang="en-US"/>
            <a:t>데이터는 이것이 가능하도록 만들어져 있다</a:t>
          </a:r>
          <a:r>
            <a:rPr lang="en-US" altLang="ko-KR"/>
            <a:t>.</a:t>
          </a:r>
        </a:p>
        <a:p>
          <a:endParaRPr lang="en-US" altLang="ko-KR"/>
        </a:p>
        <a:p>
          <a:r>
            <a:rPr lang="en-US" altLang="ko-KR" b="1"/>
            <a:t>[</a:t>
          </a:r>
          <a:r>
            <a:rPr lang="ko-KR" altLang="en-US" b="1"/>
            <a:t>해야 할일</a:t>
          </a:r>
          <a:r>
            <a:rPr lang="en-US" altLang="ko-KR" b="1"/>
            <a:t>]</a:t>
          </a:r>
          <a:endParaRPr lang="ko-KR" altLang="en-US"/>
        </a:p>
        <a:p>
          <a:r>
            <a:rPr lang="ko-KR" altLang="en-US"/>
            <a:t>  * 유저는 </a:t>
          </a:r>
          <a:r>
            <a:rPr lang="en-US" altLang="ko-KR"/>
            <a:t>main.cpp</a:t>
          </a:r>
          <a:r>
            <a:rPr lang="ko-KR" altLang="en-US"/>
            <a:t>의 트럭을 이용하여 </a:t>
          </a:r>
          <a:r>
            <a:rPr lang="en-US" altLang="ko-KR"/>
            <a:t>main.cpp</a:t>
          </a:r>
          <a:r>
            <a:rPr lang="ko-KR" altLang="en-US"/>
            <a:t>에 있는 센터에서 물품을 싣고</a:t>
          </a:r>
        </a:p>
        <a:p>
          <a:r>
            <a:rPr lang="ko-KR" altLang="en-US"/>
            <a:t>    </a:t>
          </a:r>
          <a:r>
            <a:rPr lang="en-US" altLang="ko-KR"/>
            <a:t>main.cpp</a:t>
          </a:r>
          <a:r>
            <a:rPr lang="ko-KR" altLang="en-US"/>
            <a:t>에 있는 배송지가 원하는 물품을 배송해야 한다</a:t>
          </a:r>
          <a:r>
            <a:rPr lang="en-US" altLang="ko-KR"/>
            <a:t>.</a:t>
          </a:r>
        </a:p>
        <a:p>
          <a:r>
            <a:rPr lang="en-US" altLang="ko-KR"/>
            <a:t>  * </a:t>
          </a:r>
          <a:r>
            <a:rPr lang="ko-KR" altLang="en-US"/>
            <a:t>가능한 최소의 점수가 되도록 모든 물품을 배송하라</a:t>
          </a:r>
          <a:r>
            <a:rPr lang="en-US" altLang="ko-KR"/>
            <a:t>.</a:t>
          </a:r>
        </a:p>
        <a:p>
          <a:r>
            <a:rPr lang="en-US" altLang="ko-KR"/>
            <a:t>    </a:t>
          </a:r>
          <a:r>
            <a:rPr lang="ko-KR" altLang="en-US" i="0"/>
            <a:t>맨해튼거리 </a:t>
          </a:r>
          <a:r>
            <a:rPr lang="en-US" altLang="ko-KR" i="0"/>
            <a:t>* (100 + </a:t>
          </a:r>
          <a:r>
            <a:rPr lang="ko-KR" altLang="en-US" i="0"/>
            <a:t>트럭에적재된물품수 </a:t>
          </a:r>
          <a:r>
            <a:rPr lang="en-US" altLang="ko-KR" i="0"/>
            <a:t>*</a:t>
          </a:r>
          <a:r>
            <a:rPr lang="ko-KR" altLang="en-US" i="0"/>
            <a:t> </a:t>
          </a:r>
          <a:r>
            <a:rPr lang="en-US" altLang="ko-KR" i="0"/>
            <a:t>10)</a:t>
          </a:r>
        </a:p>
        <a:p>
          <a:endParaRPr lang="en-US" altLang="ko-KR"/>
        </a:p>
        <a:p>
          <a:r>
            <a:rPr lang="en-US" altLang="ko-KR" b="1"/>
            <a:t>[</a:t>
          </a:r>
          <a:r>
            <a:rPr lang="ko-KR" altLang="en-US" b="1"/>
            <a:t>유저가 완성할 </a:t>
          </a:r>
          <a:r>
            <a:rPr lang="en-US" altLang="ko-KR" b="1"/>
            <a:t>API</a:t>
          </a:r>
          <a:r>
            <a:rPr lang="ko-KR" altLang="en-US" b="1"/>
            <a:t>함수</a:t>
          </a:r>
          <a:r>
            <a:rPr lang="en-US" altLang="ko-KR" b="1"/>
            <a:t>]</a:t>
          </a:r>
          <a:endParaRPr lang="ko-KR" altLang="en-US"/>
        </a:p>
        <a:p>
          <a:r>
            <a:rPr lang="ko-KR" altLang="en-US"/>
            <a:t>  * </a:t>
          </a:r>
          <a:r>
            <a:rPr lang="en-US" altLang="ko-KR"/>
            <a:t>void sendCenterList(int N, int M, Coordinates centerCoordinatesList[], </a:t>
          </a:r>
          <a:br>
            <a:rPr lang="en-US" altLang="ko-KR"/>
          </a:br>
          <a:r>
            <a:rPr lang="en-US" altLang="ko-KR"/>
            <a:t>                       Product centerProductList[][100], int centerProductSize[])</a:t>
          </a:r>
        </a:p>
        <a:p>
          <a:r>
            <a:rPr lang="en-US" altLang="ko-KR"/>
            <a:t>    : </a:t>
          </a:r>
          <a:r>
            <a:rPr lang="ko-KR" altLang="en-US"/>
            <a:t>센터수</a:t>
          </a:r>
          <a:r>
            <a:rPr lang="en-US" altLang="ko-KR"/>
            <a:t>(1</a:t>
          </a:r>
          <a:r>
            <a:rPr lang="ko-KR" altLang="en-US"/>
            <a:t>천 고정</a:t>
          </a:r>
          <a:r>
            <a:rPr lang="en-US" altLang="ko-KR"/>
            <a:t>), </a:t>
          </a:r>
          <a:r>
            <a:rPr lang="ko-KR" altLang="en-US"/>
            <a:t>물품종류수</a:t>
          </a:r>
          <a:r>
            <a:rPr lang="en-US" altLang="ko-KR"/>
            <a:t>(1</a:t>
          </a:r>
          <a:r>
            <a:rPr lang="ko-KR" altLang="en-US"/>
            <a:t>만 고정</a:t>
          </a:r>
          <a:r>
            <a:rPr lang="en-US" altLang="ko-KR"/>
            <a:t>), </a:t>
          </a:r>
          <a:r>
            <a:rPr lang="ko-KR" altLang="en-US"/>
            <a:t>센터 좌표</a:t>
          </a:r>
          <a:r>
            <a:rPr lang="en-US" altLang="ko-KR"/>
            <a:t>, </a:t>
          </a:r>
          <a:r>
            <a:rPr lang="ko-KR" altLang="en-US"/>
            <a:t>센터에 할당된 물품 목록</a:t>
          </a:r>
          <a:r>
            <a:rPr lang="en-US" altLang="ko-KR"/>
            <a:t>, </a:t>
          </a:r>
          <a:r>
            <a:rPr lang="ko-KR" altLang="en-US"/>
            <a:t>물품목록 길이</a:t>
          </a:r>
        </a:p>
        <a:p>
          <a:r>
            <a:rPr lang="ko-KR" altLang="en-US"/>
            <a:t>  * </a:t>
          </a:r>
          <a:r>
            <a:rPr lang="en-US" altLang="ko-KR"/>
            <a:t>void sendDeliveryList(int K, Coordinates deliveryCoordinatesList[],int deliveryProductList[])</a:t>
          </a:r>
        </a:p>
        <a:p>
          <a:r>
            <a:rPr lang="en-US" altLang="ko-KR"/>
            <a:t>    : </a:t>
          </a:r>
          <a:r>
            <a:rPr lang="ko-KR" altLang="en-US"/>
            <a:t>배송지 수</a:t>
          </a:r>
          <a:r>
            <a:rPr lang="en-US" altLang="ko-KR"/>
            <a:t>(1</a:t>
          </a:r>
          <a:r>
            <a:rPr lang="ko-KR" altLang="en-US"/>
            <a:t>백만 고정</a:t>
          </a:r>
          <a:r>
            <a:rPr lang="en-US" altLang="ko-KR"/>
            <a:t>), </a:t>
          </a:r>
          <a:r>
            <a:rPr lang="ko-KR" altLang="en-US"/>
            <a:t>배송지 좌표</a:t>
          </a:r>
          <a:r>
            <a:rPr lang="en-US" altLang="ko-KR"/>
            <a:t>, </a:t>
          </a:r>
          <a:r>
            <a:rPr lang="ko-KR" altLang="en-US"/>
            <a:t>배송지가 받을 물품 아이디</a:t>
          </a:r>
        </a:p>
        <a:p>
          <a:r>
            <a:rPr lang="ko-KR" altLang="en-US"/>
            <a:t>  * </a:t>
          </a:r>
          <a:r>
            <a:rPr lang="en-US" altLang="ko-KR"/>
            <a:t>void solve(Coordinates truckCoordinates)</a:t>
          </a:r>
        </a:p>
        <a:p>
          <a:r>
            <a:rPr lang="en-US" altLang="ko-KR"/>
            <a:t>    : main.cpp</a:t>
          </a:r>
          <a:r>
            <a:rPr lang="ko-KR" altLang="en-US"/>
            <a:t>에 정의된 트럭의 초기위치 </a:t>
          </a:r>
          <a:r>
            <a:rPr lang="en-US" altLang="ko-KR"/>
            <a:t>- </a:t>
          </a:r>
          <a:r>
            <a:rPr lang="ko-KR" altLang="en-US"/>
            <a:t>트럭은 비어있다</a:t>
          </a:r>
          <a:r>
            <a:rPr lang="en-US" altLang="ko-KR"/>
            <a:t>.</a:t>
          </a:r>
        </a:p>
        <a:p>
          <a:endParaRPr lang="en-US" altLang="ko-KR"/>
        </a:p>
        <a:p>
          <a:r>
            <a:rPr lang="en-US" altLang="ko-KR" b="1"/>
            <a:t>[</a:t>
          </a:r>
          <a:r>
            <a:rPr lang="ko-KR" altLang="en-US" b="1"/>
            <a:t>배송을 위하여 유저가 사용하는 </a:t>
          </a:r>
          <a:r>
            <a:rPr lang="en-US" altLang="ko-KR" b="1"/>
            <a:t>main</a:t>
          </a:r>
          <a:r>
            <a:rPr lang="ko-KR" altLang="en-US" b="1"/>
            <a:t>에 정의된 </a:t>
          </a:r>
          <a:r>
            <a:rPr lang="en-US" altLang="ko-KR" b="1"/>
            <a:t>API</a:t>
          </a:r>
          <a:r>
            <a:rPr lang="ko-KR" altLang="en-US" b="1"/>
            <a:t>함수</a:t>
          </a:r>
          <a:r>
            <a:rPr lang="en-US" altLang="ko-KR" b="1"/>
            <a:t>]</a:t>
          </a:r>
          <a:endParaRPr lang="ko-KR" altLang="en-US"/>
        </a:p>
        <a:p>
          <a:r>
            <a:rPr lang="ko-KR" altLang="en-US"/>
            <a:t>  * </a:t>
          </a:r>
          <a:r>
            <a:rPr lang="en-US" altLang="ko-KR"/>
            <a:t>int truckMove(int deliveryID) : deliveryID </a:t>
          </a:r>
          <a:r>
            <a:rPr lang="ko-KR" altLang="en-US"/>
            <a:t>배송지에 배송할 때 사용 </a:t>
          </a:r>
          <a:r>
            <a:rPr lang="en-US" altLang="ko-KR"/>
            <a:t>=&gt; </a:t>
          </a:r>
          <a:r>
            <a:rPr lang="ko-KR" altLang="en-US"/>
            <a:t>최소 </a:t>
          </a:r>
          <a:r>
            <a:rPr lang="en-US" altLang="ko-KR"/>
            <a:t>100</a:t>
          </a:r>
          <a:r>
            <a:rPr lang="ko-KR" altLang="en-US"/>
            <a:t>만번 호출해야 한다</a:t>
          </a:r>
          <a:r>
            <a:rPr lang="en-US" altLang="ko-KR"/>
            <a:t>.</a:t>
          </a:r>
        </a:p>
        <a:p>
          <a:r>
            <a:rPr lang="en-US" altLang="ko-KR"/>
            <a:t>    </a:t>
          </a:r>
          <a:r>
            <a:rPr lang="ko-KR" altLang="en-US"/>
            <a:t>트럭을 이동시키고 배송 비용을 계산한다</a:t>
          </a:r>
          <a:r>
            <a:rPr lang="en-US" altLang="ko-KR"/>
            <a:t>.</a:t>
          </a:r>
        </a:p>
        <a:p>
          <a:r>
            <a:rPr lang="en-US" altLang="ko-KR"/>
            <a:t>1. deliveryID</a:t>
          </a:r>
          <a:r>
            <a:rPr lang="ko-KR" altLang="en-US"/>
            <a:t>가 유효하지 않다면 </a:t>
          </a:r>
          <a:r>
            <a:rPr lang="en-US" altLang="ko-KR"/>
            <a:t>0</a:t>
          </a:r>
          <a:r>
            <a:rPr lang="ko-KR" altLang="en-US"/>
            <a:t>을 반환</a:t>
          </a:r>
        </a:p>
        <a:p>
          <a:r>
            <a:rPr lang="en-US" altLang="ko-KR"/>
            <a:t>2. deliveryID</a:t>
          </a:r>
          <a:r>
            <a:rPr lang="ko-KR" altLang="en-US"/>
            <a:t>가 원하는 물품이 트럭에 없다면 </a:t>
          </a:r>
          <a:r>
            <a:rPr lang="en-US" altLang="ko-KR"/>
            <a:t>0</a:t>
          </a:r>
          <a:r>
            <a:rPr lang="ko-KR" altLang="en-US"/>
            <a:t>을 반환</a:t>
          </a:r>
        </a:p>
        <a:p>
          <a:r>
            <a:rPr lang="ko-KR" altLang="en-US"/>
            <a:t>  * </a:t>
          </a:r>
          <a:r>
            <a:rPr lang="en-US" altLang="ko-KR"/>
            <a:t>int truckLoading(int centerID, int packageList[], int listSize) : </a:t>
          </a:r>
          <a:r>
            <a:rPr lang="ko-KR" altLang="en-US"/>
            <a:t>센터에서 물품 적재하기</a:t>
          </a:r>
        </a:p>
        <a:p>
          <a:r>
            <a:rPr lang="ko-KR" altLang="en-US"/>
            <a:t>    </a:t>
          </a:r>
          <a:r>
            <a:rPr lang="en-US" altLang="ko-KR"/>
            <a:t>1. centerID </a:t>
          </a:r>
          <a:r>
            <a:rPr lang="ko-KR" altLang="en-US"/>
            <a:t>유효성 검사</a:t>
          </a:r>
        </a:p>
        <a:p>
          <a:r>
            <a:rPr lang="en-US" altLang="ko-KR"/>
            <a:t>2. listSize(</a:t>
          </a:r>
          <a:r>
            <a:rPr lang="ko-KR" altLang="en-US"/>
            <a:t>적재요청수</a:t>
          </a:r>
          <a:r>
            <a:rPr lang="en-US" altLang="ko-KR"/>
            <a:t>)+</a:t>
          </a:r>
          <a:r>
            <a:rPr lang="ko-KR" altLang="en-US"/>
            <a:t>트럭에적재중인 물품수가 </a:t>
          </a:r>
          <a:r>
            <a:rPr lang="en-US" altLang="ko-KR"/>
            <a:t>50</a:t>
          </a:r>
          <a:r>
            <a:rPr lang="ko-KR" altLang="en-US"/>
            <a:t>을 초과할 수 없다</a:t>
          </a:r>
          <a:r>
            <a:rPr lang="en-US" altLang="ko-KR"/>
            <a:t>.</a:t>
          </a:r>
        </a:p>
        <a:p>
          <a:r>
            <a:rPr lang="en-US" altLang="ko-KR"/>
            <a:t>3. centerID </a:t>
          </a:r>
          <a:r>
            <a:rPr lang="ko-KR" altLang="en-US"/>
            <a:t>센터에 </a:t>
          </a:r>
          <a:r>
            <a:rPr lang="en-US" altLang="ko-KR"/>
            <a:t>packageList[i]</a:t>
          </a:r>
          <a:r>
            <a:rPr lang="ko-KR" altLang="en-US"/>
            <a:t>물품이 없다면 적재하지 못한다</a:t>
          </a:r>
          <a:r>
            <a:rPr lang="en-US" altLang="ko-KR"/>
            <a:t>.</a:t>
          </a:r>
        </a:p>
        <a:p>
          <a:r>
            <a:rPr lang="en-US" altLang="ko-KR"/>
            <a:t>4. listSize</a:t>
          </a:r>
          <a:r>
            <a:rPr lang="ko-KR" altLang="en-US"/>
            <a:t>만큼 적재한 경우 </a:t>
          </a:r>
          <a:r>
            <a:rPr lang="en-US" altLang="ko-KR"/>
            <a:t>1</a:t>
          </a:r>
          <a:r>
            <a:rPr lang="ko-KR" altLang="en-US"/>
            <a:t>을반환한다</a:t>
          </a:r>
          <a:r>
            <a:rPr lang="en-US" altLang="ko-KR"/>
            <a:t>.</a:t>
          </a:r>
        </a:p>
        <a:p>
          <a:r>
            <a:rPr lang="en-US" altLang="ko-KR"/>
            <a:t>[</a:t>
          </a:r>
          <a:r>
            <a:rPr lang="ko-KR" altLang="en-US"/>
            <a:t>점수 계산</a:t>
          </a:r>
          <a:r>
            <a:rPr lang="en-US" altLang="ko-KR"/>
            <a:t>]</a:t>
          </a:r>
        </a:p>
        <a:p>
          <a:r>
            <a:rPr lang="en-US" altLang="ko-KR"/>
            <a:t>  1. </a:t>
          </a:r>
          <a:r>
            <a:rPr lang="ko-KR" altLang="en-US"/>
            <a:t>센터로 이동시          </a:t>
          </a:r>
          <a:r>
            <a:rPr lang="en-US" altLang="ko-KR"/>
            <a:t>: </a:t>
          </a:r>
          <a:r>
            <a:rPr lang="ko-KR" altLang="en-US"/>
            <a:t>맨해튼거리 </a:t>
          </a:r>
          <a:r>
            <a:rPr lang="en-US" altLang="ko-KR" i="1"/>
            <a:t>(100 + </a:t>
          </a:r>
          <a:r>
            <a:rPr lang="ko-KR" altLang="en-US" i="1"/>
            <a:t>트럭에적재된물품수 </a:t>
          </a:r>
          <a:r>
            <a:rPr lang="en-US" altLang="ko-KR"/>
            <a:t>10)</a:t>
          </a:r>
        </a:p>
        <a:p>
          <a:r>
            <a:rPr lang="en-US" altLang="ko-KR"/>
            <a:t>  2. </a:t>
          </a:r>
          <a:r>
            <a:rPr lang="ko-KR" altLang="en-US"/>
            <a:t>배송지에 물품을 배송시 </a:t>
          </a:r>
          <a:r>
            <a:rPr lang="en-US" altLang="ko-KR"/>
            <a:t>: </a:t>
          </a:r>
          <a:r>
            <a:rPr lang="ko-KR" altLang="en-US"/>
            <a:t>맨해튼거리 </a:t>
          </a:r>
          <a:r>
            <a:rPr lang="en-US" altLang="ko-KR" i="1"/>
            <a:t>(100 + </a:t>
          </a:r>
          <a:r>
            <a:rPr lang="ko-KR" altLang="en-US" i="1"/>
            <a:t>트럭에적재된물품수 </a:t>
          </a:r>
          <a:r>
            <a:rPr lang="en-US" altLang="ko-KR"/>
            <a:t>10)</a:t>
          </a:r>
        </a:p>
        <a:p>
          <a:r>
            <a:rPr lang="en-US" altLang="ko-KR"/>
            <a:t>     </a:t>
          </a:r>
          <a:r>
            <a:rPr lang="ko-KR" altLang="en-US"/>
            <a:t>거리와 적재된 물품수에 비례하여 비용이 증가한다</a:t>
          </a:r>
          <a:r>
            <a:rPr lang="en-US" altLang="ko-KR"/>
            <a:t>.</a:t>
          </a:r>
        </a:p>
        <a:p>
          <a:r>
            <a:rPr lang="ko-KR" altLang="en-US"/>
            <a:t>물품이 없어도</a:t>
          </a:r>
          <a:r>
            <a:rPr lang="en-US" altLang="ko-KR"/>
            <a:t>(</a:t>
          </a:r>
          <a:r>
            <a:rPr lang="ko-KR" altLang="en-US"/>
            <a:t>빈차라도</a:t>
          </a:r>
          <a:r>
            <a:rPr lang="en-US" altLang="ko-KR"/>
            <a:t>) </a:t>
          </a:r>
          <a:r>
            <a:rPr lang="ko-KR" altLang="en-US"/>
            <a:t>거리*</a:t>
          </a:r>
          <a:r>
            <a:rPr lang="en-US" altLang="ko-KR"/>
            <a:t>100</a:t>
          </a:r>
          <a:r>
            <a:rPr lang="ko-KR" altLang="en-US"/>
            <a:t>의 비용이 추가된다</a:t>
          </a:r>
          <a:r>
            <a:rPr lang="en-US" altLang="ko-KR"/>
            <a:t>.</a:t>
          </a:r>
        </a:p>
        <a:p>
          <a:endParaRPr lang="en-US" altLang="ko-KR"/>
        </a:p>
        <a:p>
          <a:r>
            <a:rPr lang="en-US" altLang="ko-KR" b="1"/>
            <a:t>[</a:t>
          </a:r>
          <a:r>
            <a:rPr lang="ko-KR" altLang="en-US" b="1"/>
            <a:t>문제 분석</a:t>
          </a:r>
          <a:r>
            <a:rPr lang="en-US" altLang="ko-KR" b="1"/>
            <a:t>]</a:t>
          </a:r>
          <a:endParaRPr lang="ko-KR" altLang="en-US"/>
        </a:p>
        <a:p>
          <a:r>
            <a:rPr lang="en-US" altLang="ko-KR"/>
            <a:t>:</a:t>
          </a:r>
          <a:r>
            <a:rPr lang="ko-KR" altLang="en-US"/>
            <a:t>구현 자유도가 높다</a:t>
          </a:r>
          <a:r>
            <a:rPr lang="en-US" altLang="ko-KR"/>
            <a:t>.</a:t>
          </a:r>
        </a:p>
        <a:p>
          <a:r>
            <a:rPr lang="ko-KR" altLang="en-US"/>
            <a:t>  우리가 *팡 배송기사라고 생각해보자</a:t>
          </a:r>
          <a:r>
            <a:rPr lang="en-US" altLang="ko-KR"/>
            <a:t>.</a:t>
          </a:r>
        </a:p>
        <a:p>
          <a:r>
            <a:rPr lang="ko-KR" altLang="en-US"/>
            <a:t>  배송트럭을 타고 센터에 갔는데 물품만 있고 배송지가 없는 상황이다</a:t>
          </a:r>
          <a:r>
            <a:rPr lang="en-US" altLang="ko-KR"/>
            <a:t>. </a:t>
          </a:r>
          <a:r>
            <a:rPr lang="ko-KR" altLang="en-US"/>
            <a:t>어떻게 해야 하나</a:t>
          </a:r>
          <a:r>
            <a:rPr lang="en-US" altLang="ko-KR"/>
            <a:t>?</a:t>
          </a:r>
        </a:p>
        <a:p>
          <a:r>
            <a:rPr lang="ko-KR" altLang="en-US"/>
            <a:t>  일단 물건부터 싣고 배송지를 찾아 다녀야 할까</a:t>
          </a:r>
          <a:r>
            <a:rPr lang="en-US" altLang="ko-KR"/>
            <a:t>?</a:t>
          </a:r>
        </a:p>
        <a:p>
          <a:r>
            <a:rPr lang="en-US" altLang="ko-KR"/>
            <a:t>  [EX</a:t>
          </a:r>
          <a:r>
            <a:rPr lang="ko-KR" altLang="en-US"/>
            <a:t>안테나배정</a:t>
          </a:r>
          <a:r>
            <a:rPr lang="en-US" altLang="ko-KR"/>
            <a:t>]</a:t>
          </a:r>
          <a:r>
            <a:rPr lang="ko-KR" altLang="en-US"/>
            <a:t>에서는 안테나</a:t>
          </a:r>
          <a:r>
            <a:rPr lang="en-US" altLang="ko-KR"/>
            <a:t>-</a:t>
          </a:r>
          <a:r>
            <a:rPr lang="ko-KR" altLang="en-US"/>
            <a:t>유닛이 직접 연결되는데</a:t>
          </a:r>
        </a:p>
        <a:p>
          <a:r>
            <a:rPr lang="ko-KR" altLang="en-US"/>
            <a:t>  이문제에서는 센터와 배송지 사이에 트럭과 물품을 매개로 연결된다</a:t>
          </a:r>
          <a:r>
            <a:rPr lang="en-US" altLang="ko-KR"/>
            <a:t>. </a:t>
          </a:r>
          <a:r>
            <a:rPr lang="ko-KR" altLang="en-US"/>
            <a:t>ㅠㅠㅠ</a:t>
          </a:r>
        </a:p>
        <a:p>
          <a:r>
            <a:rPr lang="en-US" altLang="ko-KR"/>
            <a:t>:</a:t>
          </a:r>
          <a:r>
            <a:rPr lang="ko-KR" altLang="en-US"/>
            <a:t> 문제의 요구조건이 복잡하고 어려우므로 요구조건을 줄여서 생각해 볼 수 있을가</a:t>
          </a:r>
          <a:r>
            <a:rPr lang="en-US" altLang="ko-KR"/>
            <a:t>?</a:t>
          </a:r>
        </a:p>
        <a:p>
          <a:r>
            <a:rPr lang="ko-KR" altLang="en-US" i="0"/>
            <a:t>  현실세계에서 우리가 </a:t>
          </a:r>
          <a:r>
            <a:rPr lang="en-US" altLang="ko-KR" i="0"/>
            <a:t>*</a:t>
          </a:r>
          <a:r>
            <a:rPr lang="ko-KR" altLang="en-US"/>
            <a:t>팡 배송기사라고 생각해 보자</a:t>
          </a:r>
          <a:r>
            <a:rPr lang="en-US" altLang="ko-KR"/>
            <a:t>.</a:t>
          </a:r>
        </a:p>
        <a:p>
          <a:r>
            <a:rPr lang="en-US" altLang="ko-KR"/>
            <a:t>    </a:t>
          </a:r>
          <a:r>
            <a:rPr lang="ko-KR" altLang="en-US"/>
            <a:t>현실세계라면 *팡 배송트럭이 센터가 간 경우 배송지가 적힌 물품을 받는다</a:t>
          </a:r>
          <a:r>
            <a:rPr lang="en-US" altLang="ko-KR"/>
            <a:t>.</a:t>
          </a:r>
        </a:p>
        <a:p>
          <a:r>
            <a:rPr lang="en-US" altLang="ko-KR"/>
            <a:t>    </a:t>
          </a:r>
          <a:r>
            <a:rPr lang="ko-KR" altLang="en-US"/>
            <a:t>배송기사는 배송 우선순위만 생각하여 배송한다</a:t>
          </a:r>
          <a:r>
            <a:rPr lang="en-US" altLang="ko-KR"/>
            <a:t>. </a:t>
          </a:r>
          <a:r>
            <a:rPr lang="ko-KR" altLang="en-US"/>
            <a:t>이를 이용하면 어떨까</a:t>
          </a:r>
          <a:r>
            <a:rPr lang="en-US" altLang="ko-KR"/>
            <a:t>?</a:t>
          </a:r>
        </a:p>
        <a:p>
          <a:r>
            <a:rPr lang="en-US" altLang="ko-KR"/>
            <a:t>    (1) </a:t>
          </a:r>
          <a:r>
            <a:rPr lang="ko-KR" altLang="en-US"/>
            <a:t>배송지를 센터에 할당하기</a:t>
          </a:r>
        </a:p>
        <a:p>
          <a:r>
            <a:rPr lang="ko-KR" altLang="en-US"/>
            <a:t>        배송지가 원하는 물품을 가진 가장 가까운 센터에 배송지를 배정한다</a:t>
          </a:r>
          <a:r>
            <a:rPr lang="en-US" altLang="ko-KR"/>
            <a:t>. =&gt; </a:t>
          </a:r>
          <a:r>
            <a:rPr lang="ko-KR" altLang="en-US"/>
            <a:t>배송지 우선순위는</a:t>
          </a:r>
          <a:r>
            <a:rPr lang="en-US" altLang="ko-KR"/>
            <a:t>?</a:t>
          </a:r>
        </a:p>
        <a:p>
          <a:r>
            <a:rPr lang="en-US" altLang="ko-KR"/>
            <a:t>    (2) </a:t>
          </a:r>
          <a:r>
            <a:rPr lang="ko-KR" altLang="en-US"/>
            <a:t>트럭이 센터를 선택하기</a:t>
          </a:r>
        </a:p>
        <a:p>
          <a:r>
            <a:rPr lang="ko-KR" altLang="en-US"/>
            <a:t>        빈 트럭이라면 가장 가까운 센터로 가기</a:t>
          </a:r>
        </a:p>
        <a:p>
          <a:r>
            <a:rPr lang="ko-KR" altLang="en-US"/>
            <a:t>        물품을 적재중이라면 가장 가까운 배송지로 가기 </a:t>
          </a:r>
          <a:r>
            <a:rPr lang="en-US" altLang="ko-KR"/>
            <a:t>=&gt; </a:t>
          </a:r>
          <a:r>
            <a:rPr lang="ko-KR" altLang="en-US"/>
            <a:t>배송 우선순위는</a:t>
          </a:r>
          <a:r>
            <a:rPr lang="en-US" altLang="ko-KR"/>
            <a:t>?</a:t>
          </a:r>
        </a:p>
      </xdr:txBody>
    </xdr:sp>
    <xdr:clientData/>
  </xdr:twoCellAnchor>
  <xdr:twoCellAnchor>
    <xdr:from>
      <xdr:col>29</xdr:col>
      <xdr:colOff>353030</xdr:colOff>
      <xdr:row>0</xdr:row>
      <xdr:rowOff>123129</xdr:rowOff>
    </xdr:from>
    <xdr:to>
      <xdr:col>42</xdr:col>
      <xdr:colOff>520212</xdr:colOff>
      <xdr:row>97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D4B4F69-4917-4C5A-9EBD-8E48C93817E9}"/>
            </a:ext>
          </a:extLst>
        </xdr:cNvPr>
        <xdr:cNvSpPr txBox="1"/>
      </xdr:nvSpPr>
      <xdr:spPr>
        <a:xfrm>
          <a:off x="19534915" y="123129"/>
          <a:ext cx="8834932" cy="213007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/>
            <a:t>[</a:t>
          </a:r>
          <a:r>
            <a:rPr lang="ko-KR" altLang="en-US"/>
            <a:t>해법연구 </a:t>
          </a:r>
          <a:r>
            <a:rPr lang="en-US" altLang="ko-KR"/>
            <a:t>0 : naive]</a:t>
          </a:r>
          <a:br>
            <a:rPr lang="en-US" altLang="ko-KR"/>
          </a:br>
          <a:r>
            <a:rPr lang="en-US" altLang="ko-KR"/>
            <a:t>* NP</a:t>
          </a:r>
          <a:r>
            <a:rPr lang="ko-KR" altLang="en-US"/>
            <a:t>문제이므로 제한시간 내에 최적해를 구하는 것은 거의 불가능하다</a:t>
          </a:r>
          <a:r>
            <a:rPr lang="en-US" altLang="ko-KR"/>
            <a:t>.</a:t>
          </a:r>
          <a:br>
            <a:rPr lang="en-US" altLang="ko-KR"/>
          </a:br>
          <a:r>
            <a:rPr lang="en-US" altLang="ko-KR"/>
            <a:t>  </a:t>
          </a:r>
          <a:r>
            <a:rPr lang="ko-KR" altLang="en-US"/>
            <a:t>직관과 통찰을 통한 </a:t>
          </a:r>
          <a:r>
            <a:rPr lang="en-US" altLang="ko-KR"/>
            <a:t>Heuristic </a:t>
          </a:r>
          <a:r>
            <a:rPr lang="ko-KR" altLang="en-US"/>
            <a:t>전략을 생각해야 한다</a:t>
          </a:r>
          <a:r>
            <a:rPr lang="en-US" altLang="ko-KR"/>
            <a:t>.</a:t>
          </a:r>
          <a:br>
            <a:rPr lang="en-US" altLang="ko-KR"/>
          </a:br>
          <a:r>
            <a:rPr lang="en-US" altLang="ko-KR"/>
            <a:t>  (</a:t>
          </a:r>
          <a:r>
            <a:rPr lang="ko-KR" altLang="en-US"/>
            <a:t>참조 </a:t>
          </a:r>
          <a:r>
            <a:rPr lang="en-US" altLang="ko-KR"/>
            <a:t>: </a:t>
          </a:r>
          <a:r>
            <a:rPr lang="ko-KR" altLang="en-US"/>
            <a:t>휴리스틱</a:t>
          </a:r>
          <a:r>
            <a:rPr lang="en-US" altLang="ko-KR"/>
            <a:t>(heuristics) </a:t>
          </a:r>
          <a:r>
            <a:rPr lang="ko-KR" altLang="en-US"/>
            <a:t>또는 발견법</a:t>
          </a:r>
          <a:r>
            <a:rPr lang="en-US" altLang="ko-KR"/>
            <a:t>(</a:t>
          </a:r>
          <a:r>
            <a:rPr lang="ko-KR" altLang="en-US"/>
            <a:t>發見法</a:t>
          </a:r>
          <a:r>
            <a:rPr lang="en-US" altLang="ko-KR"/>
            <a:t>)</a:t>
          </a:r>
          <a:r>
            <a:rPr lang="ko-KR" altLang="en-US"/>
            <a:t>이란 불충분한 시간이나 정보로 인하여 합리적인 판단을 할 수 없거나</a:t>
          </a:r>
          <a:r>
            <a:rPr lang="en-US" altLang="ko-KR"/>
            <a:t>,</a:t>
          </a:r>
          <a:br>
            <a:rPr lang="en-US" altLang="ko-KR"/>
          </a:br>
          <a:r>
            <a:rPr lang="en-US" altLang="ko-KR"/>
            <a:t>    </a:t>
          </a:r>
          <a:r>
            <a:rPr lang="ko-KR" altLang="en-US"/>
            <a:t>체계적이면서 합리적인 판단이 굳이 필요하지 않은 상황에서 사람들이 빠르게 사용할 수 있게 보다 용이하게 구성된 간편추론의 방법</a:t>
          </a:r>
          <a:br>
            <a:rPr lang="ko-KR" altLang="en-US"/>
          </a:br>
          <a:r>
            <a:rPr lang="en-US" altLang="ko-KR"/>
            <a:t>- </a:t>
          </a:r>
          <a:r>
            <a:rPr lang="en-US" altLang="ko-KR" u="sng">
              <a:hlinkClick xmlns:r="http://schemas.openxmlformats.org/officeDocument/2006/relationships" r:id=""/>
            </a:rPr>
            <a:t>https://ko.wikipedia.org/wiki/%ED%9C%B4%EB%A6%AC%EC%8A%A4%ED%8B%B1_%EC%9D%B4%EB%A1%A0</a:t>
          </a:r>
          <a:r>
            <a:rPr lang="en-US" altLang="ko-KR" u="sng"/>
            <a:t>)</a:t>
          </a:r>
          <a:br>
            <a:rPr lang="en-US" altLang="ko-KR"/>
          </a:br>
          <a:r>
            <a:rPr lang="en-US" altLang="ko-KR"/>
            <a:t>* </a:t>
          </a:r>
          <a:r>
            <a:rPr lang="ko-KR" altLang="en-US"/>
            <a:t>센터에 물품이 남아 있던 없던 상관없이 모든 배송지가 물품을 받으면 배송은 끝난다</a:t>
          </a:r>
          <a:r>
            <a:rPr lang="en-US" altLang="ko-KR"/>
            <a:t>.</a:t>
          </a:r>
          <a:br>
            <a:rPr lang="en-US" altLang="ko-KR"/>
          </a:br>
          <a:r>
            <a:rPr lang="ko-KR" altLang="en-US"/>
            <a:t>평균 </a:t>
          </a:r>
          <a:r>
            <a:rPr lang="en-US" altLang="ko-KR"/>
            <a:t>1000</a:t>
          </a:r>
          <a:r>
            <a:rPr lang="ko-KR" altLang="en-US"/>
            <a:t>개의 센터 각각에는 </a:t>
          </a:r>
          <a:r>
            <a:rPr lang="en-US" altLang="ko-KR"/>
            <a:t>1000</a:t>
          </a:r>
          <a:r>
            <a:rPr lang="ko-KR" altLang="en-US"/>
            <a:t>명의 배송지가 할당된다</a:t>
          </a:r>
          <a:r>
            <a:rPr lang="en-US" altLang="ko-KR"/>
            <a:t>.</a:t>
          </a:r>
          <a:br>
            <a:rPr lang="en-US" altLang="ko-KR"/>
          </a:br>
          <a:r>
            <a:rPr lang="ko-KR" altLang="en-US"/>
            <a:t>차량이 </a:t>
          </a:r>
          <a:r>
            <a:rPr lang="en-US" altLang="ko-KR"/>
            <a:t>50</a:t>
          </a:r>
          <a:r>
            <a:rPr lang="ko-KR" altLang="en-US"/>
            <a:t>개의 물품을 적재한다고 할 때 한 센터당 평균 </a:t>
          </a:r>
          <a:r>
            <a:rPr lang="en-US" altLang="ko-KR"/>
            <a:t>20</a:t>
          </a:r>
          <a:r>
            <a:rPr lang="ko-KR" altLang="en-US"/>
            <a:t>번 방문하게 된다</a:t>
          </a:r>
          <a:r>
            <a:rPr lang="en-US" altLang="ko-KR"/>
            <a:t>.</a:t>
          </a:r>
        </a:p>
        <a:p>
          <a:r>
            <a:rPr lang="ko-KR" altLang="en-US"/>
            <a:t>배송을 어떻게 할 것인가</a:t>
          </a:r>
          <a:r>
            <a:rPr lang="en-US" altLang="ko-KR"/>
            <a:t>?</a:t>
          </a:r>
        </a:p>
        <a:p>
          <a:r>
            <a:rPr lang="ko-KR" altLang="en-US"/>
            <a:t>배송은 트럭이 수행한다</a:t>
          </a:r>
          <a:r>
            <a:rPr lang="en-US" altLang="ko-KR"/>
            <a:t>. </a:t>
          </a:r>
          <a:r>
            <a:rPr lang="ko-KR" altLang="en-US"/>
            <a:t>트럭은 물품을 적재해야 한다</a:t>
          </a:r>
          <a:r>
            <a:rPr lang="en-US" altLang="ko-KR"/>
            <a:t>. </a:t>
          </a:r>
          <a:r>
            <a:rPr lang="ko-KR" altLang="en-US"/>
            <a:t>어떤 물품을 어느 센터에서 적재할 것인가</a:t>
          </a:r>
          <a:r>
            <a:rPr lang="en-US" altLang="ko-KR"/>
            <a:t>?</a:t>
          </a:r>
        </a:p>
        <a:p>
          <a:r>
            <a:rPr lang="ko-KR" altLang="en-US"/>
            <a:t>트럭이 배송지를 선택하고 배송지가 원하는 물품을 가진 센터를 찾고</a:t>
          </a:r>
          <a:r>
            <a:rPr lang="en-US" altLang="ko-KR"/>
            <a:t>.... </a:t>
          </a:r>
          <a:r>
            <a:rPr lang="ko-KR" altLang="en-US"/>
            <a:t>ㅠㅠㅠ </a:t>
          </a:r>
          <a:r>
            <a:rPr lang="en-US" altLang="ko-KR"/>
            <a:t>=&gt; </a:t>
          </a:r>
          <a:r>
            <a:rPr lang="ko-KR" altLang="en-US"/>
            <a:t>너무 복잡하고 시간이 오래 걸릴 것으로 보인다</a:t>
          </a:r>
          <a:r>
            <a:rPr lang="en-US" altLang="ko-KR"/>
            <a:t>.</a:t>
          </a:r>
        </a:p>
        <a:p>
          <a:r>
            <a:rPr lang="ko-KR" altLang="en-US"/>
            <a:t>실세계는 어떨까</a:t>
          </a:r>
          <a:r>
            <a:rPr lang="en-US" altLang="ko-KR"/>
            <a:t>?</a:t>
          </a:r>
        </a:p>
        <a:p>
          <a:r>
            <a:rPr lang="ko-KR" altLang="en-US"/>
            <a:t>트럭이 센터에 가면 배송할 물품이 이미 준비되어 있다</a:t>
          </a:r>
          <a:r>
            <a:rPr lang="en-US" altLang="ko-KR"/>
            <a:t>.</a:t>
          </a:r>
          <a:br>
            <a:rPr lang="en-US" altLang="ko-KR"/>
          </a:br>
          <a:r>
            <a:rPr lang="ko-KR" altLang="en-US"/>
            <a:t>따라서 보다 먼저 배송지를 가장 가까운 센터에 할당하는 전략을 생각할 수 있다</a:t>
          </a:r>
          <a:r>
            <a:rPr lang="en-US" altLang="ko-KR"/>
            <a:t>.</a:t>
          </a:r>
          <a:br>
            <a:rPr lang="en-US" altLang="ko-KR"/>
          </a:br>
          <a:br>
            <a:rPr lang="en-US" altLang="ko-KR"/>
          </a:br>
          <a:r>
            <a:rPr lang="en-US" altLang="ko-KR"/>
            <a:t>## </a:t>
          </a:r>
          <a:r>
            <a:rPr lang="ko-KR" altLang="en-US"/>
            <a:t>다음 프로세스를 생각해보자</a:t>
          </a:r>
          <a:r>
            <a:rPr lang="en-US" altLang="ko-KR"/>
            <a:t>. ##</a:t>
          </a:r>
          <a:br>
            <a:rPr lang="en-US" altLang="ko-KR"/>
          </a:br>
          <a:r>
            <a:rPr lang="en-US" altLang="ko-KR"/>
            <a:t>0. naive</a:t>
          </a:r>
          <a:r>
            <a:rPr lang="ko-KR" altLang="en-US"/>
            <a:t>한 전략으로 </a:t>
          </a:r>
          <a:r>
            <a:rPr lang="en-US" altLang="ko-KR"/>
            <a:t>sketch </a:t>
          </a:r>
          <a:r>
            <a:rPr lang="ko-KR" altLang="en-US"/>
            <a:t>코드를 작성해 본다</a:t>
          </a:r>
          <a:endParaRPr lang="en-US" altLang="ko-KR"/>
        </a:p>
        <a:p>
          <a:endParaRPr lang="ko-KR" altLang="en-US"/>
        </a:p>
        <a:p>
          <a:r>
            <a:rPr lang="en-US" altLang="ko-KR" b="1"/>
            <a:t>[sketchCode_ver01]</a:t>
          </a:r>
          <a:endParaRPr lang="en-US" altLang="ko-KR"/>
        </a:p>
        <a:p>
          <a:pPr lvl="0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센터별 물품 재고를 파악한다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0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배송지를 원하는 물품을 가진 가장 가까운 센터에 할당한다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                  =&gt;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배송지 우선순위는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?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0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3.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트럭</a:t>
          </a:r>
        </a:p>
        <a:p>
          <a:pPr lvl="0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   (1)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빈트럭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배송물품이 남아 있는 가장 가까운 센터로 이동</a:t>
          </a:r>
        </a:p>
        <a:p>
          <a:pPr lvl="0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   (2)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센터에 남은 배송지 물품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개를 적재후 배송하기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=&gt;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여러개 배송은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?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0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         1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개씩 배송하는 경우 어차피 모든 배송지 물품을 배송해야 하므로</a:t>
          </a:r>
        </a:p>
        <a:p>
          <a:pPr lvl="0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   순서는 중요하지 않을 수 있다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0"/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0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고찰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]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0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실행 시간이 너무 오래 걸린다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0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=&gt;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개선할 수 있을까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?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0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점수가 높다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0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=&gt;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여러 개 배송하는 것은 어떨까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?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0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=&gt;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어떤 물품을 함께 적재할 것인가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?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0"/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=&gt;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어떤 물품을 먼저 적재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배송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할 것인가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? 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SCORE: 46'029'280'220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Run Time : 10.679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초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FAIL</a:t>
          </a:r>
          <a:endParaRPr lang="en-US" altLang="ko-KR"/>
        </a:p>
        <a:p>
          <a:endParaRPr lang="en-US" altLang="ko-KR"/>
        </a:p>
        <a:p>
          <a:r>
            <a:rPr lang="en-US" altLang="ko-KR" b="1"/>
            <a:t>[sketchCode02]</a:t>
          </a:r>
          <a:endParaRPr lang="en-US" altLang="ko-KR"/>
        </a:p>
        <a:p>
          <a:r>
            <a:rPr lang="en-US" altLang="ko-KR"/>
            <a:t>    1. </a:t>
          </a:r>
          <a:r>
            <a:rPr lang="ko-KR" altLang="en-US"/>
            <a:t>센터별 물품 재고를 파악한다</a:t>
          </a:r>
          <a:r>
            <a:rPr lang="en-US" altLang="ko-KR"/>
            <a:t>.</a:t>
          </a:r>
        </a:p>
        <a:p>
          <a:r>
            <a:rPr lang="en-US" altLang="ko-KR"/>
            <a:t>    2. </a:t>
          </a:r>
          <a:r>
            <a:rPr lang="ko-KR" altLang="en-US"/>
            <a:t>배송지를 원하는 물품을 가진 가장 가까운 센터에 할당한다</a:t>
          </a:r>
          <a:r>
            <a:rPr lang="en-US" altLang="ko-KR"/>
            <a:t>.                =&gt; </a:t>
          </a:r>
          <a:r>
            <a:rPr lang="ko-KR" altLang="en-US"/>
            <a:t>배송지 우선순위는</a:t>
          </a:r>
          <a:r>
            <a:rPr lang="en-US" altLang="ko-KR"/>
            <a:t>?</a:t>
          </a:r>
        </a:p>
        <a:p>
          <a:r>
            <a:rPr lang="en-US" altLang="ko-KR"/>
            <a:t>    3. </a:t>
          </a:r>
          <a:r>
            <a:rPr lang="ko-KR" altLang="en-US"/>
            <a:t>트럭</a:t>
          </a:r>
        </a:p>
        <a:p>
          <a:r>
            <a:rPr lang="ko-KR" altLang="en-US"/>
            <a:t>      </a:t>
          </a:r>
          <a:r>
            <a:rPr lang="en-US" altLang="ko-KR"/>
            <a:t>(1) </a:t>
          </a:r>
          <a:r>
            <a:rPr lang="ko-KR" altLang="en-US"/>
            <a:t>빈트럭 </a:t>
          </a:r>
          <a:r>
            <a:rPr lang="en-US" altLang="ko-KR"/>
            <a:t>: </a:t>
          </a:r>
          <a:r>
            <a:rPr lang="ko-KR" altLang="en-US"/>
            <a:t>배송물품이 남아 있는 가장 가까운 센터로 이동</a:t>
          </a:r>
        </a:p>
        <a:p>
          <a:r>
            <a:rPr lang="ko-KR" altLang="en-US"/>
            <a:t>      </a:t>
          </a:r>
          <a:r>
            <a:rPr lang="en-US" altLang="ko-KR"/>
            <a:t>(2) </a:t>
          </a:r>
          <a:r>
            <a:rPr lang="ko-KR" altLang="en-US"/>
            <a:t>센터에 남은 배송지중에 가장 가까운 배송지 물품 </a:t>
          </a:r>
          <a:r>
            <a:rPr lang="en-US" altLang="ko-KR"/>
            <a:t>1</a:t>
          </a:r>
          <a:r>
            <a:rPr lang="ko-KR" altLang="en-US"/>
            <a:t>개를 적재후 배송하기 </a:t>
          </a:r>
          <a:r>
            <a:rPr lang="en-US" altLang="ko-KR"/>
            <a:t>=&gt; </a:t>
          </a:r>
          <a:r>
            <a:rPr lang="ko-KR" altLang="en-US"/>
            <a:t>여러개 배송은</a:t>
          </a:r>
          <a:r>
            <a:rPr lang="en-US" altLang="ko-KR"/>
            <a:t>?</a:t>
          </a:r>
        </a:p>
        <a:p>
          <a:r>
            <a:rPr lang="en-US" altLang="ko-KR"/>
            <a:t>     *** !!!</a:t>
          </a:r>
        </a:p>
        <a:p>
          <a:r>
            <a:rPr lang="en-US" altLang="ko-KR"/>
            <a:t>       sketchCode01</a:t>
          </a:r>
          <a:r>
            <a:rPr lang="ko-KR" altLang="en-US"/>
            <a:t>에서 속도를 조금 개선한 버전이다</a:t>
          </a:r>
          <a:r>
            <a:rPr lang="en-US" altLang="ko-KR"/>
            <a:t>.</a:t>
          </a:r>
        </a:p>
        <a:p>
          <a:r>
            <a:rPr lang="en-US" altLang="ko-KR"/>
            <a:t>       </a:t>
          </a:r>
          <a:r>
            <a:rPr lang="ko-KR" altLang="en-US"/>
            <a:t>물품을 가진 센터를 찾을 때 </a:t>
          </a:r>
          <a:r>
            <a:rPr lang="en-US" altLang="ko-KR"/>
            <a:t>row major order</a:t>
          </a:r>
          <a:r>
            <a:rPr lang="ko-KR" altLang="en-US"/>
            <a:t>를 이용하는 것으로 개선하였다</a:t>
          </a:r>
          <a:r>
            <a:rPr lang="en-US" altLang="ko-KR"/>
            <a:t>.</a:t>
          </a:r>
        </a:p>
        <a:p>
          <a:r>
            <a:rPr lang="en-US" altLang="ko-KR"/>
            <a:t>       2</a:t>
          </a:r>
          <a:r>
            <a:rPr lang="ko-KR" altLang="en-US"/>
            <a:t>차원 배열을 탐색할 때 </a:t>
          </a:r>
          <a:r>
            <a:rPr lang="en-US" altLang="ko-KR"/>
            <a:t>row major order</a:t>
          </a:r>
          <a:r>
            <a:rPr lang="ko-KR" altLang="en-US"/>
            <a:t>로 탐색하는 것은 매우 중요하다</a:t>
          </a:r>
          <a:r>
            <a:rPr lang="en-US" altLang="ko-KR"/>
            <a:t>.</a:t>
          </a:r>
        </a:p>
        <a:p>
          <a:r>
            <a:rPr lang="en-US" altLang="ko-KR"/>
            <a:t>       </a:t>
          </a:r>
          <a:r>
            <a:rPr lang="ko-KR" altLang="en-US"/>
            <a:t>이것이 당락을 결정할 수도 있다</a:t>
          </a:r>
          <a:r>
            <a:rPr lang="en-US" altLang="ko-KR"/>
            <a:t>.</a:t>
          </a:r>
        </a:p>
        <a:p>
          <a:endParaRPr lang="en-US" altLang="ko-KR"/>
        </a:p>
        <a:p>
          <a:r>
            <a:rPr lang="en-US" altLang="ko-KR"/>
            <a:t>       [</a:t>
          </a:r>
          <a:r>
            <a:rPr lang="ko-KR" altLang="en-US"/>
            <a:t>이전 기출문제 예 </a:t>
          </a:r>
          <a:r>
            <a:rPr lang="en-US" altLang="ko-KR"/>
            <a:t>: Compression II​ (211127)]</a:t>
          </a:r>
        </a:p>
        <a:p>
          <a:r>
            <a:rPr lang="en-US" altLang="ko-KR"/>
            <a:t>      </a:t>
          </a:r>
        </a:p>
        <a:p>
          <a:r>
            <a:rPr lang="en-US" altLang="ko-KR"/>
            <a:t>        </a:t>
          </a:r>
          <a:r>
            <a:rPr lang="ko-KR" altLang="en-US"/>
            <a:t>보충 설명 참조 </a:t>
          </a:r>
          <a:r>
            <a:rPr lang="en-US" altLang="ko-KR"/>
            <a:t>: row_major_order  vs column_major_order :</a:t>
          </a:r>
        </a:p>
        <a:p>
          <a:endParaRPr lang="en-US" altLang="ko-KR"/>
        </a:p>
        <a:p>
          <a:endParaRPr lang="en-US" altLang="ko-KR"/>
        </a:p>
        <a:p>
          <a:endParaRPr lang="en-US" altLang="ko-KR"/>
        </a:p>
        <a:p>
          <a:endParaRPr lang="en-US" altLang="ko-KR"/>
        </a:p>
        <a:p>
          <a:endParaRPr lang="en-US" altLang="ko-KR"/>
        </a:p>
        <a:p>
          <a:r>
            <a:rPr lang="en-US" altLang="ko-KR"/>
            <a:t>   !!! ***</a:t>
          </a:r>
        </a:p>
        <a:p>
          <a:r>
            <a:rPr lang="en-US" altLang="ko-KR"/>
            <a:t>       SCORE: 46029280220</a:t>
          </a:r>
        </a:p>
        <a:p>
          <a:r>
            <a:rPr lang="en-US" altLang="ko-KR"/>
            <a:t>       FAIL</a:t>
          </a:r>
        </a:p>
        <a:p>
          <a:r>
            <a:rPr lang="en-US" altLang="ko-KR"/>
            <a:t>       runTime : 11237 =&gt; 5971</a:t>
          </a:r>
        </a:p>
        <a:p>
          <a:endParaRPr lang="en-US" altLang="ko-KR"/>
        </a:p>
        <a:p>
          <a:endParaRPr lang="en-US" altLang="ko-KR"/>
        </a:p>
        <a:p>
          <a:r>
            <a:rPr lang="en-US" altLang="ko-KR" b="1"/>
            <a:t>[sketchCode03]</a:t>
          </a:r>
          <a:endParaRPr lang="en-US" altLang="ko-KR"/>
        </a:p>
        <a:p>
          <a:r>
            <a:rPr lang="en-US" altLang="ko-KR"/>
            <a:t>1. </a:t>
          </a:r>
          <a:r>
            <a:rPr lang="ko-KR" altLang="en-US"/>
            <a:t>센터별 물품 재고표를 작성한다</a:t>
          </a:r>
          <a:r>
            <a:rPr lang="en-US" altLang="ko-KR"/>
            <a:t>.</a:t>
          </a:r>
        </a:p>
        <a:p>
          <a:r>
            <a:rPr lang="en-US" altLang="ko-KR"/>
            <a:t>2. </a:t>
          </a:r>
          <a:r>
            <a:rPr lang="ko-KR" altLang="en-US"/>
            <a:t>배송지를 센터에 할당한다</a:t>
          </a:r>
          <a:r>
            <a:rPr lang="en-US" altLang="ko-KR"/>
            <a:t>. O(DLM * CLM = 10</a:t>
          </a:r>
          <a:r>
            <a:rPr lang="ko-KR" altLang="en-US"/>
            <a:t>억</a:t>
          </a:r>
          <a:r>
            <a:rPr lang="en-US" altLang="ko-KR"/>
            <a:t>)</a:t>
          </a:r>
        </a:p>
        <a:p>
          <a:r>
            <a:rPr lang="en-US" altLang="ko-KR"/>
            <a:t>3. </a:t>
          </a:r>
          <a:r>
            <a:rPr lang="ko-KR" altLang="en-US"/>
            <a:t>트럭 배송은 다음 프로세스를 따른다</a:t>
          </a:r>
          <a:r>
            <a:rPr lang="en-US" altLang="ko-KR"/>
            <a:t>.</a:t>
          </a:r>
        </a:p>
        <a:p>
          <a:r>
            <a:rPr lang="en-US" altLang="ko-KR"/>
            <a:t>1) </a:t>
          </a:r>
          <a:r>
            <a:rPr lang="ko-KR" altLang="en-US"/>
            <a:t>트럭이 가장 가까운 배송할 물품이 남아 있는 센터로 이동한다</a:t>
          </a:r>
          <a:r>
            <a:rPr lang="en-US" altLang="ko-KR"/>
            <a:t>.</a:t>
          </a:r>
        </a:p>
        <a:p>
          <a:r>
            <a:rPr lang="en-US" altLang="ko-KR"/>
            <a:t>2) </a:t>
          </a:r>
          <a:r>
            <a:rPr lang="ko-KR" altLang="en-US"/>
            <a:t>센터에서에서 가장 가까운 물품</a:t>
          </a:r>
          <a:r>
            <a:rPr lang="en-US" altLang="ko-KR"/>
            <a:t>1</a:t>
          </a:r>
          <a:r>
            <a:rPr lang="ko-KR" altLang="en-US"/>
            <a:t>을 적재한다</a:t>
          </a:r>
          <a:r>
            <a:rPr lang="en-US" altLang="ko-KR"/>
            <a:t>.</a:t>
          </a:r>
        </a:p>
        <a:p>
          <a:r>
            <a:rPr lang="en-US" altLang="ko-KR"/>
            <a:t>   </a:t>
          </a:r>
          <a:r>
            <a:rPr lang="ko-KR" altLang="en-US"/>
            <a:t>물품</a:t>
          </a:r>
          <a:r>
            <a:rPr lang="en-US" altLang="ko-KR"/>
            <a:t>1</a:t>
          </a:r>
          <a:r>
            <a:rPr lang="ko-KR" altLang="en-US"/>
            <a:t>에서 가장 가까운 물품</a:t>
          </a:r>
          <a:r>
            <a:rPr lang="en-US" altLang="ko-KR"/>
            <a:t>2</a:t>
          </a:r>
          <a:r>
            <a:rPr lang="ko-KR" altLang="en-US"/>
            <a:t>를 적재한다</a:t>
          </a:r>
          <a:r>
            <a:rPr lang="en-US" altLang="ko-KR"/>
            <a:t>.</a:t>
          </a:r>
        </a:p>
        <a:p>
          <a:r>
            <a:rPr lang="en-US" altLang="ko-KR"/>
            <a:t>   </a:t>
          </a:r>
          <a:r>
            <a:rPr lang="ko-KR" altLang="en-US"/>
            <a:t>물품</a:t>
          </a:r>
          <a:r>
            <a:rPr lang="en-US" altLang="ko-KR"/>
            <a:t>2</a:t>
          </a:r>
          <a:r>
            <a:rPr lang="ko-KR" altLang="en-US"/>
            <a:t>에서 가장 가까운 물품</a:t>
          </a:r>
          <a:r>
            <a:rPr lang="en-US" altLang="ko-KR"/>
            <a:t>3</a:t>
          </a:r>
          <a:r>
            <a:rPr lang="ko-KR" altLang="en-US"/>
            <a:t>을</a:t>
          </a:r>
          <a:r>
            <a:rPr lang="en-US" altLang="ko-KR"/>
            <a:t>...</a:t>
          </a:r>
        </a:p>
        <a:p>
          <a:r>
            <a:rPr lang="en-US" altLang="ko-KR"/>
            <a:t>3) </a:t>
          </a:r>
          <a:r>
            <a:rPr lang="ko-KR" altLang="en-US"/>
            <a:t>적재한 모든 물품을 배송하고 </a:t>
          </a:r>
          <a:r>
            <a:rPr lang="en-US" altLang="ko-KR"/>
            <a:t>1~3</a:t>
          </a:r>
          <a:r>
            <a:rPr lang="ko-KR" altLang="en-US"/>
            <a:t>전략을 배송이 완료될때까지 반복한다</a:t>
          </a:r>
          <a:r>
            <a:rPr lang="en-US" altLang="ko-KR"/>
            <a:t>.</a:t>
          </a:r>
        </a:p>
        <a:p>
          <a:r>
            <a:rPr lang="en-US" altLang="ko-KR"/>
            <a:t>TH = 10,  SCORE: 10'334'543'820</a:t>
          </a:r>
        </a:p>
        <a:p>
          <a:r>
            <a:rPr lang="en-US" altLang="ko-KR"/>
            <a:t>TH = 20,  SCORE:  9'349'401'560</a:t>
          </a:r>
        </a:p>
        <a:p>
          <a:r>
            <a:rPr lang="en-US" altLang="ko-KR"/>
            <a:t>TH = 30,  SCORE:  9'741'594'340</a:t>
          </a:r>
        </a:p>
        <a:p>
          <a:r>
            <a:rPr lang="en-US" altLang="ko-KR"/>
            <a:t>TH = 40,  SCORE: 10'492'786'460</a:t>
          </a:r>
        </a:p>
        <a:p>
          <a:r>
            <a:rPr lang="en-US" altLang="ko-KR"/>
            <a:t>TH = 50,  SCORE: 113'67'923'140</a:t>
          </a:r>
        </a:p>
        <a:p>
          <a:r>
            <a:rPr lang="en-US" altLang="ko-KR"/>
            <a:t>[</a:t>
          </a:r>
          <a:r>
            <a:rPr lang="ko-KR" altLang="en-US"/>
            <a:t>고찰</a:t>
          </a:r>
          <a:r>
            <a:rPr lang="en-US" altLang="ko-KR"/>
            <a:t>]</a:t>
          </a:r>
        </a:p>
        <a:p>
          <a:r>
            <a:rPr lang="ko-KR" altLang="en-US"/>
            <a:t>배송지를 센터에 할당하는 </a:t>
          </a:r>
          <a:r>
            <a:rPr lang="en-US" altLang="ko-KR"/>
            <a:t>2</a:t>
          </a:r>
          <a:r>
            <a:rPr lang="ko-KR" altLang="en-US"/>
            <a:t>번 프로세스가 시간복잡도 </a:t>
          </a:r>
          <a:r>
            <a:rPr lang="en-US" altLang="ko-KR"/>
            <a:t>O(DLM * CLM = 10</a:t>
          </a:r>
          <a:r>
            <a:rPr lang="ko-KR" altLang="en-US"/>
            <a:t>억</a:t>
          </a:r>
          <a:r>
            <a:rPr lang="en-US" altLang="ko-KR"/>
            <a:t>)</a:t>
          </a:r>
          <a:r>
            <a:rPr lang="ko-KR" altLang="en-US"/>
            <a:t>로 다소 느리다</a:t>
          </a:r>
          <a:r>
            <a:rPr lang="en-US" altLang="ko-KR"/>
            <a:t>.</a:t>
          </a:r>
        </a:p>
        <a:p>
          <a:r>
            <a:rPr lang="ko-KR" altLang="en-US"/>
            <a:t>이를 개선할 수 있을까</a:t>
          </a:r>
          <a:r>
            <a:rPr lang="en-US" altLang="ko-KR"/>
            <a:t>?</a:t>
          </a:r>
        </a:p>
        <a:p>
          <a:r>
            <a:rPr lang="ko-KR" altLang="en-US"/>
            <a:t>시험장 서버는 </a:t>
          </a:r>
          <a:r>
            <a:rPr lang="en-US" altLang="ko-KR"/>
            <a:t>swea</a:t>
          </a:r>
          <a:r>
            <a:rPr lang="ko-KR" altLang="en-US"/>
            <a:t>서버보다 </a:t>
          </a:r>
          <a:r>
            <a:rPr lang="en-US" altLang="ko-KR"/>
            <a:t>1.6</a:t>
          </a:r>
          <a:r>
            <a:rPr lang="ko-KR" altLang="en-US"/>
            <a:t>배 정도 느린 것으로 알려져 있다</a:t>
          </a:r>
          <a:r>
            <a:rPr lang="en-US" altLang="ko-KR"/>
            <a:t>.</a:t>
          </a:r>
        </a:p>
        <a:p>
          <a:r>
            <a:rPr lang="ko-KR" altLang="en-US"/>
            <a:t>속도를 개선할 수 있다면 개선하는 것이 안전하다</a:t>
          </a:r>
          <a:r>
            <a:rPr lang="en-US" altLang="ko-KR"/>
            <a:t>.</a:t>
          </a:r>
        </a:p>
        <a:p>
          <a:r>
            <a:rPr lang="ko-KR" altLang="en-US"/>
            <a:t>배송지별로 각배송지에 가장 가까운 가능한 센터를 할당하는 작업의 시간복잡도 </a:t>
          </a:r>
          <a:r>
            <a:rPr lang="en-US" altLang="ko-KR"/>
            <a:t>O( 1000000 </a:t>
          </a:r>
          <a:r>
            <a:rPr lang="en-US" altLang="ko-KR" i="1"/>
            <a:t>1000)</a:t>
          </a:r>
          <a:r>
            <a:rPr lang="ko-KR" altLang="en-US" i="1"/>
            <a:t>을 개선할 수 있을까</a:t>
          </a:r>
          <a:r>
            <a:rPr lang="en-US" altLang="ko-KR" i="1"/>
            <a:t>?</a:t>
          </a:r>
          <a:br>
            <a:rPr lang="en-US" altLang="ko-KR" i="1"/>
          </a:br>
          <a:br>
            <a:rPr lang="en-US" altLang="ko-KR" i="1"/>
          </a:br>
          <a:r>
            <a:rPr lang="ko-KR" altLang="en-US" i="1"/>
            <a:t>부품별 가능한 센터 목록을 만들어 놓으면 </a:t>
          </a:r>
          <a:r>
            <a:rPr lang="en-US" altLang="ko-KR" i="1"/>
            <a:t>[10000][100]</a:t>
          </a:r>
          <a:r>
            <a:rPr lang="ko-KR" altLang="en-US" i="1"/>
            <a:t>으로 만들수 있다</a:t>
          </a:r>
          <a:r>
            <a:rPr lang="en-US" altLang="ko-KR" i="1"/>
            <a:t>.</a:t>
          </a:r>
          <a:br>
            <a:rPr lang="en-US" altLang="ko-KR" i="1"/>
          </a:br>
          <a:r>
            <a:rPr lang="ko-KR" altLang="en-US" i="1"/>
            <a:t>부품의 종류는 최대 </a:t>
          </a:r>
          <a:r>
            <a:rPr lang="en-US" altLang="ko-KR" i="1"/>
            <a:t>10000</a:t>
          </a:r>
          <a:r>
            <a:rPr lang="ko-KR" altLang="en-US" i="1"/>
            <a:t>개</a:t>
          </a:r>
          <a:r>
            <a:rPr lang="en-US" altLang="ko-KR" i="1"/>
            <a:t>, </a:t>
          </a:r>
          <a:r>
            <a:rPr lang="ko-KR" altLang="en-US" i="1"/>
            <a:t>센터별 갖는 부품 종류는 최대 </a:t>
          </a:r>
          <a:r>
            <a:rPr lang="en-US" altLang="ko-KR" i="1"/>
            <a:t>100 </a:t>
          </a:r>
          <a:r>
            <a:rPr lang="ko-KR" altLang="en-US" i="1"/>
            <a:t>이고 데이터는 랜덤하게 생성된다</a:t>
          </a:r>
          <a:r>
            <a:rPr lang="en-US" altLang="ko-KR" i="1"/>
            <a:t>.</a:t>
          </a:r>
          <a:br>
            <a:rPr lang="en-US" altLang="ko-KR" i="1"/>
          </a:br>
          <a:r>
            <a:rPr lang="ko-KR" altLang="en-US" i="1"/>
            <a:t>따라서 각 부품별 해당 부품을 가진 센터수는 많지 않다</a:t>
          </a:r>
          <a:r>
            <a:rPr lang="en-US" altLang="ko-KR" i="1"/>
            <a:t>.</a:t>
          </a:r>
          <a:br>
            <a:rPr lang="en-US" altLang="ko-KR" i="1"/>
          </a:br>
          <a:r>
            <a:rPr lang="ko-KR" altLang="en-US" i="1"/>
            <a:t>실제로 메인에서 생성되는 데이터를 분석해보면 부품별 해당 부품을 가진 센터수는 대부분이 </a:t>
          </a:r>
          <a:r>
            <a:rPr lang="en-US" altLang="ko-KR" i="1"/>
            <a:t>10</a:t>
          </a:r>
          <a:r>
            <a:rPr lang="ko-KR" altLang="en-US" i="1"/>
            <a:t>개 미만이고 최대가 </a:t>
          </a:r>
          <a:r>
            <a:rPr lang="en-US" altLang="ko-KR" i="1"/>
            <a:t>16</a:t>
          </a:r>
          <a:r>
            <a:rPr lang="ko-KR" altLang="en-US" i="1"/>
            <a:t>이다</a:t>
          </a:r>
          <a:r>
            <a:rPr lang="en-US" altLang="ko-KR" i="1"/>
            <a:t>.</a:t>
          </a:r>
          <a:br>
            <a:rPr lang="en-US" altLang="ko-KR" i="1"/>
          </a:br>
          <a:r>
            <a:rPr lang="ko-KR" altLang="en-US" i="1"/>
            <a:t>이를 이용하여 배송지별 각배송지에 가장 가까운 가능한 센터를 할당하는 작업은</a:t>
          </a:r>
          <a:br>
            <a:rPr lang="ko-KR" altLang="en-US" i="1"/>
          </a:br>
          <a:r>
            <a:rPr lang="en-US" altLang="ko-KR" i="1"/>
            <a:t>(1000000 </a:t>
          </a:r>
          <a:r>
            <a:rPr lang="en-US" altLang="ko-KR"/>
            <a:t>100(</a:t>
          </a:r>
          <a:r>
            <a:rPr lang="ko-KR" altLang="en-US"/>
            <a:t>그런데 실제로는 </a:t>
          </a:r>
          <a:r>
            <a:rPr lang="en-US" altLang="ko-KR"/>
            <a:t>10</a:t>
          </a:r>
          <a:r>
            <a:rPr lang="ko-KR" altLang="en-US"/>
            <a:t>미만이 상당수</a:t>
          </a:r>
          <a:r>
            <a:rPr lang="en-US" altLang="ko-KR"/>
            <a:t>))</a:t>
          </a:r>
          <a:r>
            <a:rPr lang="ko-KR" altLang="en-US"/>
            <a:t>으로 줄일 수 있다</a:t>
          </a:r>
          <a:r>
            <a:rPr lang="en-US" altLang="ko-KR"/>
            <a:t>.</a:t>
          </a:r>
        </a:p>
        <a:p>
          <a:endParaRPr lang="en-US" altLang="ko-KR"/>
        </a:p>
        <a:p>
          <a:endParaRPr lang="en-US" altLang="ko-KR"/>
        </a:p>
        <a:p>
          <a:r>
            <a:rPr lang="en-US" altLang="ko-KR" b="1"/>
            <a:t>[sketchCode04]</a:t>
          </a:r>
          <a:endParaRPr lang="en-US" altLang="ko-KR"/>
        </a:p>
        <a:p>
          <a:r>
            <a:rPr lang="en-US" altLang="ko-KR"/>
            <a:t> sketchCode03 </a:t>
          </a:r>
          <a:r>
            <a:rPr lang="ko-KR" altLang="en-US"/>
            <a:t>에서 고찰을 반영한 버전</a:t>
          </a:r>
        </a:p>
        <a:p>
          <a:endParaRPr lang="en-US" altLang="ko-KR" sz="1100" baseline="0"/>
        </a:p>
      </xdr:txBody>
    </xdr:sp>
    <xdr:clientData/>
  </xdr:twoCellAnchor>
  <xdr:twoCellAnchor>
    <xdr:from>
      <xdr:col>43</xdr:col>
      <xdr:colOff>88779</xdr:colOff>
      <xdr:row>0</xdr:row>
      <xdr:rowOff>97412</xdr:rowOff>
    </xdr:from>
    <xdr:to>
      <xdr:col>54</xdr:col>
      <xdr:colOff>45312</xdr:colOff>
      <xdr:row>122</xdr:row>
      <xdr:rowOff>107674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D45369E-6340-4BEA-813A-9A730D0BC395}"/>
            </a:ext>
          </a:extLst>
        </xdr:cNvPr>
        <xdr:cNvSpPr txBox="1"/>
      </xdr:nvSpPr>
      <xdr:spPr>
        <a:xfrm>
          <a:off x="28610439" y="93602"/>
          <a:ext cx="7288878" cy="267488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b="1"/>
            <a:t>[</a:t>
          </a:r>
          <a:r>
            <a:rPr lang="ko-KR" altLang="en-US" b="1"/>
            <a:t>해법 연구</a:t>
          </a:r>
          <a:r>
            <a:rPr lang="en-US" altLang="ko-KR" b="1"/>
            <a:t>1]</a:t>
          </a:r>
          <a:endParaRPr lang="ko-KR" altLang="en-US"/>
        </a:p>
        <a:p>
          <a:r>
            <a:rPr lang="en-US" altLang="ko-KR"/>
            <a:t>1. </a:t>
          </a:r>
          <a:r>
            <a:rPr lang="ko-KR" altLang="en-US"/>
            <a:t>센터별 물품 재고표를 작성한다</a:t>
          </a:r>
          <a:r>
            <a:rPr lang="en-US" altLang="ko-KR"/>
            <a:t>.</a:t>
          </a:r>
        </a:p>
        <a:p>
          <a:r>
            <a:rPr lang="en-US" altLang="ko-KR"/>
            <a:t>   </a:t>
          </a:r>
          <a:r>
            <a:rPr lang="ko-KR" altLang="en-US"/>
            <a:t>아래 과정</a:t>
          </a:r>
          <a:r>
            <a:rPr lang="en-US" altLang="ko-KR"/>
            <a:t>2</a:t>
          </a:r>
          <a:r>
            <a:rPr lang="ko-KR" altLang="en-US"/>
            <a:t>의 시간복잡도 개선을 위하여 물품별 센터목록을 준비한다</a:t>
          </a:r>
          <a:r>
            <a:rPr lang="en-US" altLang="ko-KR"/>
            <a:t>.</a:t>
          </a:r>
        </a:p>
        <a:p>
          <a:r>
            <a:rPr lang="en-US" altLang="ko-KR"/>
            <a:t>   </a:t>
          </a:r>
          <a:r>
            <a:rPr lang="ko-KR" altLang="en-US"/>
            <a:t>데이터를 분석해 보면 물품별 센터목록의 길이는 대부분 </a:t>
          </a:r>
          <a:r>
            <a:rPr lang="en-US" altLang="ko-KR"/>
            <a:t>1</a:t>
          </a:r>
          <a:r>
            <a:rPr lang="ko-KR" altLang="en-US"/>
            <a:t>자리이고 최대 </a:t>
          </a:r>
          <a:r>
            <a:rPr lang="en-US" altLang="ko-KR"/>
            <a:t>16</a:t>
          </a:r>
          <a:r>
            <a:rPr lang="ko-KR" altLang="en-US"/>
            <a:t>개이다</a:t>
          </a:r>
          <a:r>
            <a:rPr lang="en-US" altLang="ko-KR"/>
            <a:t>.</a:t>
          </a:r>
        </a:p>
        <a:p>
          <a:r>
            <a:rPr lang="en-US" altLang="ko-KR"/>
            <a:t>2. </a:t>
          </a:r>
          <a:r>
            <a:rPr lang="ko-KR" altLang="en-US"/>
            <a:t>배송지를 센터에 할당한다</a:t>
          </a:r>
          <a:r>
            <a:rPr lang="en-US" altLang="ko-KR"/>
            <a:t>.</a:t>
          </a:r>
        </a:p>
        <a:p>
          <a:r>
            <a:rPr lang="en-US" altLang="ko-KR"/>
            <a:t>   </a:t>
          </a:r>
          <a:r>
            <a:rPr lang="ko-KR" altLang="en-US"/>
            <a:t>위 과정 </a:t>
          </a:r>
          <a:r>
            <a:rPr lang="en-US" altLang="ko-KR"/>
            <a:t>1</a:t>
          </a:r>
          <a:r>
            <a:rPr lang="ko-KR" altLang="en-US"/>
            <a:t>번을 이용하여 평균 시간이 </a:t>
          </a:r>
          <a:r>
            <a:rPr lang="en-US" altLang="ko-KR"/>
            <a:t>O(DLM * 10)</a:t>
          </a:r>
          <a:r>
            <a:rPr lang="ko-KR" altLang="en-US"/>
            <a:t>정도가 된다</a:t>
          </a:r>
          <a:r>
            <a:rPr lang="en-US" altLang="ko-KR"/>
            <a:t>.</a:t>
          </a:r>
        </a:p>
        <a:p>
          <a:r>
            <a:rPr lang="en-US" altLang="ko-KR"/>
            <a:t>3. </a:t>
          </a:r>
          <a:r>
            <a:rPr lang="ko-KR" altLang="en-US"/>
            <a:t>트럭 배송은 다음 프로세스를 따른다</a:t>
          </a:r>
          <a:r>
            <a:rPr lang="en-US" altLang="ko-KR"/>
            <a:t>.</a:t>
          </a:r>
        </a:p>
        <a:p>
          <a:r>
            <a:rPr lang="en-US" altLang="ko-KR"/>
            <a:t>1) </a:t>
          </a:r>
          <a:r>
            <a:rPr lang="ko-KR" altLang="en-US"/>
            <a:t>트럭이 가장 가까운 배송할 물품이 남아 있는 센터로 이동한다</a:t>
          </a:r>
          <a:r>
            <a:rPr lang="en-US" altLang="ko-KR"/>
            <a:t>.</a:t>
          </a:r>
        </a:p>
        <a:p>
          <a:r>
            <a:rPr lang="en-US" altLang="ko-KR"/>
            <a:t>2) </a:t>
          </a:r>
          <a:r>
            <a:rPr lang="ko-KR" altLang="en-US"/>
            <a:t>센터에서에서 가장 가까운 물품</a:t>
          </a:r>
          <a:r>
            <a:rPr lang="en-US" altLang="ko-KR"/>
            <a:t>1</a:t>
          </a:r>
          <a:r>
            <a:rPr lang="ko-KR" altLang="en-US"/>
            <a:t>을 적재한다</a:t>
          </a:r>
          <a:r>
            <a:rPr lang="en-US" altLang="ko-KR"/>
            <a:t>.</a:t>
          </a:r>
        </a:p>
        <a:p>
          <a:r>
            <a:rPr lang="en-US" altLang="ko-KR"/>
            <a:t>   </a:t>
          </a:r>
          <a:r>
            <a:rPr lang="ko-KR" altLang="en-US"/>
            <a:t>물품</a:t>
          </a:r>
          <a:r>
            <a:rPr lang="en-US" altLang="ko-KR"/>
            <a:t>1</a:t>
          </a:r>
          <a:r>
            <a:rPr lang="ko-KR" altLang="en-US"/>
            <a:t>에서 가장 가까운 물품</a:t>
          </a:r>
          <a:r>
            <a:rPr lang="en-US" altLang="ko-KR"/>
            <a:t>2</a:t>
          </a:r>
          <a:r>
            <a:rPr lang="ko-KR" altLang="en-US"/>
            <a:t>를 적재한다</a:t>
          </a:r>
          <a:r>
            <a:rPr lang="en-US" altLang="ko-KR"/>
            <a:t>.</a:t>
          </a:r>
        </a:p>
        <a:p>
          <a:r>
            <a:rPr lang="en-US" altLang="ko-KR"/>
            <a:t>   </a:t>
          </a:r>
          <a:r>
            <a:rPr lang="ko-KR" altLang="en-US"/>
            <a:t>물품</a:t>
          </a:r>
          <a:r>
            <a:rPr lang="en-US" altLang="ko-KR"/>
            <a:t>2</a:t>
          </a:r>
          <a:r>
            <a:rPr lang="ko-KR" altLang="en-US"/>
            <a:t>에서 가장 가까운 물품</a:t>
          </a:r>
          <a:r>
            <a:rPr lang="en-US" altLang="ko-KR"/>
            <a:t>3</a:t>
          </a:r>
          <a:r>
            <a:rPr lang="ko-KR" altLang="en-US"/>
            <a:t>을</a:t>
          </a:r>
          <a:r>
            <a:rPr lang="en-US" altLang="ko-KR"/>
            <a:t>...</a:t>
          </a:r>
        </a:p>
        <a:p>
          <a:r>
            <a:rPr lang="en-US" altLang="ko-KR"/>
            <a:t>3) </a:t>
          </a:r>
          <a:r>
            <a:rPr lang="ko-KR" altLang="en-US"/>
            <a:t>적재한 모든 물품을 배송하고 </a:t>
          </a:r>
          <a:r>
            <a:rPr lang="en-US" altLang="ko-KR"/>
            <a:t>1~3</a:t>
          </a:r>
          <a:r>
            <a:rPr lang="ko-KR" altLang="en-US"/>
            <a:t>전략을 배송이 완료될때까지 반복한다</a:t>
          </a:r>
          <a:r>
            <a:rPr lang="en-US" altLang="ko-KR"/>
            <a:t>.</a:t>
          </a:r>
        </a:p>
        <a:p>
          <a:r>
            <a:rPr lang="en-US" altLang="ko-KR"/>
            <a:t>TH = 10,  SCORE: 10'334'543'820</a:t>
          </a:r>
        </a:p>
        <a:p>
          <a:r>
            <a:rPr lang="en-US" altLang="ko-KR"/>
            <a:t>TH = 20,  SCORE:  9'349'401'560</a:t>
          </a:r>
        </a:p>
        <a:p>
          <a:r>
            <a:rPr lang="en-US" altLang="ko-KR"/>
            <a:t>TH = 30,  SCORE:  9'741'594'340</a:t>
          </a:r>
        </a:p>
        <a:p>
          <a:r>
            <a:rPr lang="en-US" altLang="ko-KR"/>
            <a:t>TH = 40,  SCORE: 10'492'786'460</a:t>
          </a:r>
        </a:p>
        <a:p>
          <a:r>
            <a:rPr lang="en-US" altLang="ko-KR"/>
            <a:t>TH = 50,  SCORE: 113'67'923'140</a:t>
          </a:r>
        </a:p>
        <a:p>
          <a:r>
            <a:rPr lang="en-US" altLang="ko-KR"/>
            <a:t>[</a:t>
          </a:r>
          <a:r>
            <a:rPr lang="ko-KR" altLang="en-US"/>
            <a:t>고찰</a:t>
          </a:r>
          <a:r>
            <a:rPr lang="en-US" altLang="ko-KR"/>
            <a:t>]</a:t>
          </a:r>
        </a:p>
        <a:p>
          <a:r>
            <a:rPr lang="ko-KR" altLang="en-US"/>
            <a:t>점수 계산식은 다음과 같다</a:t>
          </a:r>
          <a:r>
            <a:rPr lang="en-US" altLang="ko-KR"/>
            <a:t>.</a:t>
          </a:r>
          <a:br>
            <a:rPr lang="en-US" altLang="ko-KR"/>
          </a:br>
          <a:r>
            <a:rPr lang="en-US" altLang="ko-KR"/>
            <a:t>SCORE += dist </a:t>
          </a:r>
          <a:r>
            <a:rPr lang="en-US" altLang="ko-KR" i="1"/>
            <a:t>(100 + truck_package_count </a:t>
          </a:r>
          <a:r>
            <a:rPr lang="en-US" altLang="ko-KR"/>
            <a:t>10);</a:t>
          </a:r>
          <a:br>
            <a:rPr lang="en-US" altLang="ko-KR"/>
          </a:br>
          <a:br>
            <a:rPr lang="en-US" altLang="ko-KR"/>
          </a:br>
          <a:r>
            <a:rPr lang="ko-KR" altLang="en-US"/>
            <a:t>앞에 배치된 배송지들은 트럭에 실린 물건수에 영향을 많이 받고</a:t>
          </a:r>
          <a:br>
            <a:rPr lang="ko-KR" altLang="en-US"/>
          </a:br>
          <a:r>
            <a:rPr lang="ko-KR" altLang="en-US"/>
            <a:t>뒤에 배치된 배송지들은 트럭에 실린 물건수와 함께 트럭이 이동하는 거리가 증가할수록 많은 점수를 사용한다</a:t>
          </a:r>
          <a:r>
            <a:rPr lang="en-US" altLang="ko-KR"/>
            <a:t>.</a:t>
          </a:r>
          <a:br>
            <a:rPr lang="en-US" altLang="ko-KR"/>
          </a:br>
          <a:r>
            <a:rPr lang="ko-KR" altLang="en-US"/>
            <a:t>트럭에 싣는 물건수를 </a:t>
          </a:r>
          <a:r>
            <a:rPr lang="en-US" altLang="ko-KR"/>
            <a:t>50</a:t>
          </a:r>
          <a:r>
            <a:rPr lang="ko-KR" altLang="en-US"/>
            <a:t>개로 하는 것이 최선일까</a:t>
          </a:r>
          <a:r>
            <a:rPr lang="en-US" altLang="ko-KR"/>
            <a:t>?</a:t>
          </a:r>
          <a:br>
            <a:rPr lang="en-US" altLang="ko-KR"/>
          </a:br>
          <a:r>
            <a:rPr lang="en-US" altLang="ko-KR"/>
            <a:t>( </a:t>
          </a:r>
          <a:r>
            <a:rPr lang="ko-KR" altLang="en-US" i="1"/>
            <a:t>출제자는 </a:t>
          </a:r>
          <a:r>
            <a:rPr lang="en-US" altLang="ko-KR" i="1"/>
            <a:t>50</a:t>
          </a:r>
          <a:r>
            <a:rPr lang="ko-KR" altLang="en-US" i="1"/>
            <a:t>으로 정한 이유가 무엇일까</a:t>
          </a:r>
          <a:r>
            <a:rPr lang="en-US" altLang="ko-KR" i="1"/>
            <a:t>? </a:t>
          </a:r>
          <a:r>
            <a:rPr lang="en-US" altLang="ko-KR"/>
            <a:t>)</a:t>
          </a:r>
          <a:br>
            <a:rPr lang="en-US" altLang="ko-KR"/>
          </a:br>
          <a:br>
            <a:rPr lang="en-US" altLang="ko-KR"/>
          </a:br>
          <a:r>
            <a:rPr lang="ko-KR" altLang="en-US"/>
            <a:t>트럭이 배송중에 센터</a:t>
          </a:r>
          <a:r>
            <a:rPr lang="en-US" altLang="ko-KR"/>
            <a:t>A =&gt; </a:t>
          </a:r>
          <a:r>
            <a:rPr lang="ko-KR" altLang="en-US"/>
            <a:t>배송지</a:t>
          </a:r>
          <a:r>
            <a:rPr lang="en-US" altLang="ko-KR"/>
            <a:t>1 =&gt; </a:t>
          </a:r>
          <a:r>
            <a:rPr lang="ko-KR" altLang="en-US"/>
            <a:t>배송지</a:t>
          </a:r>
          <a:r>
            <a:rPr lang="en-US" altLang="ko-KR"/>
            <a:t>2 </a:t>
          </a:r>
          <a:r>
            <a:rPr lang="ko-KR" altLang="en-US"/>
            <a:t>로 이동할 때 누적 거리가</a:t>
          </a:r>
          <a:br>
            <a:rPr lang="ko-KR" altLang="en-US"/>
          </a:br>
          <a:r>
            <a:rPr lang="ko-KR" altLang="en-US"/>
            <a:t>센터</a:t>
          </a:r>
          <a:r>
            <a:rPr lang="en-US" altLang="ko-KR"/>
            <a:t>A =&gt; </a:t>
          </a:r>
          <a:r>
            <a:rPr lang="ko-KR" altLang="en-US"/>
            <a:t>배송지</a:t>
          </a:r>
          <a:r>
            <a:rPr lang="en-US" altLang="ko-KR"/>
            <a:t>1 =&gt; </a:t>
          </a:r>
          <a:r>
            <a:rPr lang="ko-KR" altLang="en-US"/>
            <a:t>센터</a:t>
          </a:r>
          <a:r>
            <a:rPr lang="en-US" altLang="ko-KR"/>
            <a:t>A(</a:t>
          </a:r>
          <a:r>
            <a:rPr lang="ko-KR" altLang="en-US"/>
            <a:t>혹은 다른 센터</a:t>
          </a:r>
          <a:r>
            <a:rPr lang="en-US" altLang="ko-KR"/>
            <a:t>) =&gt; </a:t>
          </a:r>
          <a:r>
            <a:rPr lang="ko-KR" altLang="en-US"/>
            <a:t>배송지</a:t>
          </a:r>
          <a:r>
            <a:rPr lang="en-US" altLang="ko-KR"/>
            <a:t>2(</a:t>
          </a:r>
          <a:r>
            <a:rPr lang="ko-KR" altLang="en-US"/>
            <a:t>혹은 다른 배송지</a:t>
          </a:r>
          <a:r>
            <a:rPr lang="en-US" altLang="ko-KR"/>
            <a:t>) </a:t>
          </a:r>
          <a:r>
            <a:rPr lang="ko-KR" altLang="en-US"/>
            <a:t>보다 크다면</a:t>
          </a:r>
          <a:br>
            <a:rPr lang="ko-KR" altLang="en-US"/>
          </a:br>
          <a:r>
            <a:rPr lang="ko-KR" altLang="en-US"/>
            <a:t>센터</a:t>
          </a:r>
          <a:r>
            <a:rPr lang="en-US" altLang="ko-KR"/>
            <a:t>A(</a:t>
          </a:r>
          <a:r>
            <a:rPr lang="ko-KR" altLang="en-US"/>
            <a:t>혹은 다른 센터</a:t>
          </a:r>
          <a:r>
            <a:rPr lang="en-US" altLang="ko-KR"/>
            <a:t>)</a:t>
          </a:r>
          <a:r>
            <a:rPr lang="ko-KR" altLang="en-US"/>
            <a:t>로 돌아가는 것이 더 유리하다</a:t>
          </a:r>
          <a:r>
            <a:rPr lang="en-US" altLang="ko-KR"/>
            <a:t>.</a:t>
          </a:r>
        </a:p>
        <a:p>
          <a:endParaRPr lang="en-US" altLang="ko-KR"/>
        </a:p>
        <a:p>
          <a:r>
            <a:rPr lang="en-US" altLang="ko-KR" b="1"/>
            <a:t>[</a:t>
          </a:r>
          <a:r>
            <a:rPr lang="ko-KR" altLang="en-US" b="1"/>
            <a:t>해법 연구</a:t>
          </a:r>
          <a:r>
            <a:rPr lang="en-US" altLang="ko-KR" b="1"/>
            <a:t>2]</a:t>
          </a:r>
          <a:endParaRPr lang="ko-KR" altLang="en-US"/>
        </a:p>
        <a:p>
          <a:r>
            <a:rPr lang="en-US" altLang="ko-KR"/>
            <a:t>1. </a:t>
          </a:r>
          <a:r>
            <a:rPr lang="ko-KR" altLang="en-US"/>
            <a:t>배송지를 가장 가까운 센터에 할당하여 센터별 할당 배송지 목록을 준비한다</a:t>
          </a:r>
          <a:r>
            <a:rPr lang="en-US" altLang="ko-KR"/>
            <a:t>.</a:t>
          </a:r>
        </a:p>
        <a:p>
          <a:r>
            <a:rPr lang="en-US" altLang="ko-KR"/>
            <a:t>   </a:t>
          </a:r>
          <a:r>
            <a:rPr lang="ko-KR" altLang="en-US"/>
            <a:t>이 프로세스를 단순하게 처리하면 </a:t>
          </a:r>
          <a:r>
            <a:rPr lang="en-US" altLang="ko-KR"/>
            <a:t>O(1'000'000 * 1'000) </a:t>
          </a:r>
          <a:r>
            <a:rPr lang="ko-KR" altLang="en-US"/>
            <a:t>시간이 걸린다</a:t>
          </a:r>
          <a:r>
            <a:rPr lang="en-US" altLang="ko-KR"/>
            <a:t>.</a:t>
          </a:r>
        </a:p>
        <a:p>
          <a:r>
            <a:rPr lang="en-US" altLang="ko-KR"/>
            <a:t>   </a:t>
          </a:r>
          <a:r>
            <a:rPr lang="ko-KR" altLang="en-US"/>
            <a:t>이를 개선하기 위하여 다음과 같이 처리할 수 있다</a:t>
          </a:r>
          <a:r>
            <a:rPr lang="en-US" altLang="ko-KR"/>
            <a:t>.</a:t>
          </a:r>
        </a:p>
        <a:p>
          <a:r>
            <a:rPr lang="en-US" altLang="ko-KR"/>
            <a:t>   </a:t>
          </a:r>
          <a:r>
            <a:rPr lang="ko-KR" altLang="en-US"/>
            <a:t>사실 이문제는 </a:t>
          </a:r>
          <a:r>
            <a:rPr lang="en-US" altLang="ko-KR"/>
            <a:t>4</a:t>
          </a:r>
          <a:r>
            <a:rPr lang="ko-KR" altLang="en-US"/>
            <a:t>개의 객체가 등장한다</a:t>
          </a:r>
          <a:r>
            <a:rPr lang="en-US" altLang="ko-KR"/>
            <a:t>.</a:t>
          </a:r>
        </a:p>
        <a:p>
          <a:r>
            <a:rPr lang="en-US" altLang="ko-KR"/>
            <a:t>   1.</a:t>
          </a:r>
          <a:r>
            <a:rPr lang="ko-KR" altLang="en-US"/>
            <a:t>센터</a:t>
          </a:r>
          <a:r>
            <a:rPr lang="en-US" altLang="ko-KR"/>
            <a:t>, 2.</a:t>
          </a:r>
          <a:r>
            <a:rPr lang="ko-KR" altLang="en-US"/>
            <a:t>배송지</a:t>
          </a:r>
          <a:r>
            <a:rPr lang="en-US" altLang="ko-KR"/>
            <a:t>, 3.</a:t>
          </a:r>
          <a:r>
            <a:rPr lang="ko-KR" altLang="en-US"/>
            <a:t>트럭   그리고   </a:t>
          </a:r>
          <a:r>
            <a:rPr lang="en-US" altLang="ko-KR"/>
            <a:t>4.</a:t>
          </a:r>
          <a:r>
            <a:rPr lang="ko-KR" altLang="en-US"/>
            <a:t>물품 이다</a:t>
          </a:r>
          <a:r>
            <a:rPr lang="en-US" altLang="ko-KR"/>
            <a:t>.</a:t>
          </a:r>
        </a:p>
        <a:p>
          <a:r>
            <a:rPr lang="en-US" altLang="ko-KR"/>
            <a:t>   4</a:t>
          </a:r>
          <a:r>
            <a:rPr lang="ko-KR" altLang="en-US"/>
            <a:t>번째 객체인 물품을 이용해보자</a:t>
          </a:r>
          <a:r>
            <a:rPr lang="en-US" altLang="ko-KR"/>
            <a:t>.</a:t>
          </a:r>
        </a:p>
        <a:p>
          <a:r>
            <a:rPr lang="en-US" altLang="ko-KR"/>
            <a:t>   </a:t>
          </a:r>
          <a:r>
            <a:rPr lang="ko-KR" altLang="en-US"/>
            <a:t>물품 아이디별로 이 물품을 가진 센터를 목록으로 준비한다</a:t>
          </a:r>
          <a:r>
            <a:rPr lang="en-US" altLang="ko-KR"/>
            <a:t>.</a:t>
          </a:r>
        </a:p>
        <a:p>
          <a:r>
            <a:rPr lang="en-US" altLang="ko-KR"/>
            <a:t>   </a:t>
          </a:r>
          <a:r>
            <a:rPr lang="ko-KR" altLang="en-US"/>
            <a:t>최악의 경우라 해도 </a:t>
          </a:r>
          <a:r>
            <a:rPr lang="en-US" altLang="ko-KR"/>
            <a:t>100</a:t>
          </a:r>
          <a:r>
            <a:rPr lang="ko-KR" altLang="en-US"/>
            <a:t>을 초과하지 않는다</a:t>
          </a:r>
          <a:r>
            <a:rPr lang="en-US" altLang="ko-KR"/>
            <a:t>.</a:t>
          </a:r>
        </a:p>
        <a:p>
          <a:r>
            <a:rPr lang="en-US" altLang="ko-KR"/>
            <a:t>   main.cpp</a:t>
          </a:r>
          <a:r>
            <a:rPr lang="ko-KR" altLang="en-US"/>
            <a:t>에서 생성하는 각 센터당 물품 목록수는 </a:t>
          </a:r>
          <a:r>
            <a:rPr lang="en-US" altLang="ko-KR"/>
            <a:t>1~100</a:t>
          </a:r>
          <a:r>
            <a:rPr lang="ko-KR" altLang="en-US"/>
            <a:t>이기 때문이다</a:t>
          </a:r>
          <a:r>
            <a:rPr lang="en-US" altLang="ko-KR"/>
            <a:t>.</a:t>
          </a:r>
        </a:p>
        <a:p>
          <a:r>
            <a:rPr lang="en-US" altLang="ko-KR"/>
            <a:t>   </a:t>
          </a:r>
          <a:r>
            <a:rPr lang="ko-KR" altLang="en-US"/>
            <a:t>그런데 데이터를 분석하여 출력해 보면 각 물품 아이디별 센터의 갯수는 대부분 </a:t>
          </a:r>
          <a:r>
            <a:rPr lang="en-US" altLang="ko-KR"/>
            <a:t>10</a:t>
          </a:r>
          <a:r>
            <a:rPr lang="ko-KR" altLang="en-US"/>
            <a:t>개 미만이다</a:t>
          </a:r>
          <a:r>
            <a:rPr lang="en-US" altLang="ko-KR"/>
            <a:t>.</a:t>
          </a:r>
        </a:p>
        <a:p>
          <a:r>
            <a:rPr lang="en-US" altLang="ko-KR"/>
            <a:t>   SEED = 5</a:t>
          </a:r>
          <a:r>
            <a:rPr lang="ko-KR" altLang="en-US"/>
            <a:t>에서 가장 많은 경우가 </a:t>
          </a:r>
          <a:r>
            <a:rPr lang="en-US" altLang="ko-KR"/>
            <a:t>16</a:t>
          </a:r>
          <a:r>
            <a:rPr lang="ko-KR" altLang="en-US"/>
            <a:t>이다</a:t>
          </a:r>
          <a:r>
            <a:rPr lang="en-US" altLang="ko-KR"/>
            <a:t>.</a:t>
          </a:r>
        </a:p>
        <a:p>
          <a:r>
            <a:rPr lang="en-US" altLang="ko-KR"/>
            <a:t>   </a:t>
          </a:r>
          <a:r>
            <a:rPr lang="ko-KR" altLang="en-US"/>
            <a:t>이를 이용한다면 시간복잡도는 </a:t>
          </a:r>
          <a:r>
            <a:rPr lang="en-US" altLang="ko-KR"/>
            <a:t>O(1'000'000 * 10) </a:t>
          </a:r>
          <a:r>
            <a:rPr lang="ko-KR" altLang="en-US"/>
            <a:t>정도로 줄어든다</a:t>
          </a:r>
          <a:r>
            <a:rPr lang="en-US" altLang="ko-KR"/>
            <a:t>.</a:t>
          </a:r>
        </a:p>
        <a:p>
          <a:r>
            <a:rPr lang="en-US" altLang="ko-KR"/>
            <a:t>2. </a:t>
          </a:r>
          <a:r>
            <a:rPr lang="ko-KR" altLang="en-US"/>
            <a:t>차량은 현재 위치에서 가장 가까운 센터로 이동하여 다음 방법으로 </a:t>
          </a:r>
          <a:r>
            <a:rPr lang="en-US" altLang="ko-KR"/>
            <a:t>TH</a:t>
          </a:r>
          <a:r>
            <a:rPr lang="ko-KR" altLang="en-US"/>
            <a:t>개의 물품을 싣는다</a:t>
          </a:r>
          <a:r>
            <a:rPr lang="en-US" altLang="ko-KR"/>
            <a:t>.</a:t>
          </a:r>
        </a:p>
        <a:p>
          <a:r>
            <a:rPr lang="en-US" altLang="ko-KR"/>
            <a:t>   (1) </a:t>
          </a:r>
          <a:r>
            <a:rPr lang="ko-KR" altLang="en-US"/>
            <a:t>센터에 남은 배송지중에서 가장 가까운 배송지를 </a:t>
          </a:r>
          <a:r>
            <a:rPr lang="en-US" altLang="ko-KR"/>
            <a:t>1</a:t>
          </a:r>
          <a:r>
            <a:rPr lang="ko-KR" altLang="en-US"/>
            <a:t>번 배송지로 선택한다</a:t>
          </a:r>
          <a:r>
            <a:rPr lang="en-US" altLang="ko-KR"/>
            <a:t>.</a:t>
          </a:r>
        </a:p>
        <a:p>
          <a:r>
            <a:rPr lang="en-US" altLang="ko-KR"/>
            <a:t>   (2) 2</a:t>
          </a:r>
          <a:r>
            <a:rPr lang="ko-KR" altLang="en-US"/>
            <a:t>번 배송지는 </a:t>
          </a:r>
          <a:r>
            <a:rPr lang="en-US" altLang="ko-KR"/>
            <a:t>1</a:t>
          </a:r>
          <a:r>
            <a:rPr lang="ko-KR" altLang="en-US"/>
            <a:t>번 배송지에서 가장 가까운 배송지를 선택한다</a:t>
          </a:r>
          <a:r>
            <a:rPr lang="en-US" altLang="ko-KR"/>
            <a:t>.</a:t>
          </a:r>
        </a:p>
        <a:p>
          <a:r>
            <a:rPr lang="en-US" altLang="ko-KR"/>
            <a:t>   ...</a:t>
          </a:r>
        </a:p>
        <a:p>
          <a:r>
            <a:rPr lang="en-US" altLang="ko-KR"/>
            <a:t>   TH</a:t>
          </a:r>
          <a:r>
            <a:rPr lang="ko-KR" altLang="en-US"/>
            <a:t>번 배송지는 </a:t>
          </a:r>
          <a:r>
            <a:rPr lang="en-US" altLang="ko-KR"/>
            <a:t>TH-1</a:t>
          </a:r>
          <a:r>
            <a:rPr lang="ko-KR" altLang="en-US"/>
            <a:t>번 배송지에서 가장 가까운 배송지를 선택한다</a:t>
          </a:r>
          <a:r>
            <a:rPr lang="en-US" altLang="ko-KR"/>
            <a:t>.</a:t>
          </a:r>
        </a:p>
        <a:p>
          <a:r>
            <a:rPr lang="en-US" altLang="ko-KR"/>
            <a:t>**********************************************************************</a:t>
          </a:r>
        </a:p>
        <a:p>
          <a:r>
            <a:rPr lang="en-US" altLang="ko-KR"/>
            <a:t>   (3) </a:t>
          </a:r>
          <a:r>
            <a:rPr lang="ko-KR" altLang="en-US"/>
            <a:t>아래와 같은 경우 물품</a:t>
          </a:r>
          <a:r>
            <a:rPr lang="en-US" altLang="ko-KR"/>
            <a:t>1</a:t>
          </a:r>
          <a:r>
            <a:rPr lang="ko-KR" altLang="en-US"/>
            <a:t>만 적재하여 배송하고</a:t>
          </a:r>
        </a:p>
        <a:p>
          <a:r>
            <a:rPr lang="ko-KR" altLang="en-US"/>
            <a:t>빈차로 센터에 돌아와 물품</a:t>
          </a:r>
          <a:r>
            <a:rPr lang="en-US" altLang="ko-KR"/>
            <a:t>2</a:t>
          </a:r>
          <a:r>
            <a:rPr lang="ko-KR" altLang="en-US"/>
            <a:t>를 적재하여 배송하는 것</a:t>
          </a:r>
          <a:r>
            <a:rPr lang="en-US" altLang="ko-KR"/>
            <a:t>(1)</a:t>
          </a:r>
          <a:r>
            <a:rPr lang="ko-KR" altLang="en-US"/>
            <a:t>이</a:t>
          </a:r>
        </a:p>
        <a:p>
          <a:r>
            <a:rPr lang="en-US" altLang="ko-KR"/>
            <a:t>2</a:t>
          </a:r>
          <a:r>
            <a:rPr lang="ko-KR" altLang="en-US"/>
            <a:t>개의 물품 모두를 적재하고 배송하는 것</a:t>
          </a:r>
          <a:r>
            <a:rPr lang="en-US" altLang="ko-KR"/>
            <a:t>(1)</a:t>
          </a:r>
          <a:r>
            <a:rPr lang="ko-KR" altLang="en-US"/>
            <a:t>보다 비용이 적게 든다</a:t>
          </a:r>
          <a:r>
            <a:rPr lang="en-US" altLang="ko-KR"/>
            <a:t>.</a:t>
          </a:r>
        </a:p>
        <a:p>
          <a:r>
            <a:rPr lang="ko-KR" altLang="en-US"/>
            <a:t>물품</a:t>
          </a:r>
          <a:r>
            <a:rPr lang="en-US" altLang="ko-KR"/>
            <a:t>1_____dist1____</a:t>
          </a:r>
          <a:r>
            <a:rPr lang="ko-KR" altLang="en-US"/>
            <a:t>센터</a:t>
          </a:r>
          <a:r>
            <a:rPr lang="en-US" altLang="ko-KR"/>
            <a:t>_________dist2______</a:t>
          </a:r>
          <a:r>
            <a:rPr lang="ko-KR" altLang="en-US"/>
            <a:t>물품</a:t>
          </a:r>
          <a:r>
            <a:rPr lang="en-US" altLang="ko-KR"/>
            <a:t>2</a:t>
          </a:r>
        </a:p>
        <a:p>
          <a:r>
            <a:rPr lang="ko-KR" altLang="en-US"/>
            <a:t>예</a:t>
          </a:r>
          <a:r>
            <a:rPr lang="en-US" altLang="ko-KR"/>
            <a:t>)     (4) -- 10 -- [center] -- 10 -- (1)  ---- 20 ---- (2) ------- 30 ------ (3)</a:t>
          </a:r>
        </a:p>
        <a:p>
          <a:r>
            <a:rPr lang="en-US" altLang="ko-KR"/>
            <a:t>[load cost]</a:t>
          </a:r>
        </a:p>
        <a:p>
          <a:r>
            <a:rPr lang="en-US" altLang="ko-KR"/>
            <a:t>{10 </a:t>
          </a:r>
          <a:r>
            <a:rPr lang="en-US" altLang="ko-KR" i="1"/>
            <a:t>( 100 + 4 </a:t>
          </a:r>
          <a:r>
            <a:rPr lang="en-US" altLang="ko-KR"/>
            <a:t>10)} + {20 </a:t>
          </a:r>
          <a:r>
            <a:rPr lang="en-US" altLang="ko-KR" i="1"/>
            <a:t>( 100 + 3 </a:t>
          </a:r>
          <a:r>
            <a:rPr lang="en-US" altLang="ko-KR"/>
            <a:t>10)} + {30 </a:t>
          </a:r>
          <a:r>
            <a:rPr lang="en-US" altLang="ko-KR" i="1"/>
            <a:t>( 100 + 2 </a:t>
          </a:r>
          <a:r>
            <a:rPr lang="en-US" altLang="ko-KR"/>
            <a:t>10)} + {70 </a:t>
          </a:r>
          <a:r>
            <a:rPr lang="en-US" altLang="ko-KR" i="1"/>
            <a:t>( 100 + 1 </a:t>
          </a:r>
          <a:r>
            <a:rPr lang="en-US" altLang="ko-KR"/>
            <a:t>10)}</a:t>
          </a:r>
        </a:p>
        <a:p>
          <a:r>
            <a:rPr lang="en-US" altLang="ko-KR"/>
            <a:t>= 1400 + 2600 + 3600 + 7700 = 15300</a:t>
          </a:r>
        </a:p>
        <a:p>
          <a:r>
            <a:rPr lang="en-US" altLang="ko-KR"/>
            <a:t>[unload cost]</a:t>
          </a:r>
        </a:p>
        <a:p>
          <a:r>
            <a:rPr lang="en-US" altLang="ko-KR"/>
            <a:t>{10 </a:t>
          </a:r>
          <a:r>
            <a:rPr lang="en-US" altLang="ko-KR" i="1"/>
            <a:t>( 100 + 3 </a:t>
          </a:r>
          <a:r>
            <a:rPr lang="en-US" altLang="ko-KR"/>
            <a:t>10)} + {20 </a:t>
          </a:r>
          <a:r>
            <a:rPr lang="en-US" altLang="ko-KR" i="1"/>
            <a:t>( 100 + 2 </a:t>
          </a:r>
          <a:r>
            <a:rPr lang="en-US" altLang="ko-KR"/>
            <a:t>10)} + {30 </a:t>
          </a:r>
          <a:r>
            <a:rPr lang="en-US" altLang="ko-KR" i="1"/>
            <a:t>( 100 + 1 </a:t>
          </a:r>
          <a:r>
            <a:rPr lang="en-US" altLang="ko-KR"/>
            <a:t>10)} + 60* 100 + {10 </a:t>
          </a:r>
          <a:r>
            <a:rPr lang="en-US" altLang="ko-KR" i="1"/>
            <a:t>( 100 + 1 </a:t>
          </a:r>
          <a:r>
            <a:rPr lang="en-US" altLang="ko-KR"/>
            <a:t>10)}</a:t>
          </a:r>
        </a:p>
        <a:p>
          <a:r>
            <a:rPr lang="en-US" altLang="ko-KR"/>
            <a:t>= 1300 + 2400 + 3300 + 6000 + 1100 = 14100</a:t>
          </a:r>
        </a:p>
        <a:p>
          <a:r>
            <a:rPr lang="en-US" altLang="ko-KR"/>
            <a:t>**********************************************************************</a:t>
          </a:r>
        </a:p>
        <a:p>
          <a:r>
            <a:rPr lang="en-US" altLang="ko-KR"/>
            <a:t>3. </a:t>
          </a:r>
          <a:r>
            <a:rPr lang="ko-KR" altLang="en-US"/>
            <a:t>트럭은 트럭에 물품이 없는 경우 가장 가까운 배송 물품이 남아 있는 센터로 이동한다</a:t>
          </a:r>
          <a:r>
            <a:rPr lang="en-US" altLang="ko-KR"/>
            <a:t>.</a:t>
          </a:r>
        </a:p>
        <a:p>
          <a:r>
            <a:rPr lang="en-US" altLang="ko-KR"/>
            <a:t>4. </a:t>
          </a:r>
          <a:r>
            <a:rPr lang="ko-KR" altLang="en-US"/>
            <a:t>모든 배송이 끝날때까지 </a:t>
          </a:r>
          <a:r>
            <a:rPr lang="en-US" altLang="ko-KR"/>
            <a:t>2, 3</a:t>
          </a:r>
          <a:r>
            <a:rPr lang="ko-KR" altLang="en-US"/>
            <a:t>을 반복한다</a:t>
          </a:r>
          <a:r>
            <a:rPr lang="en-US" altLang="ko-KR"/>
            <a:t>.</a:t>
          </a:r>
        </a:p>
        <a:p>
          <a:r>
            <a:rPr lang="en-US" altLang="ko-KR"/>
            <a:t>SEE = 5</a:t>
          </a:r>
        </a:p>
        <a:p>
          <a:r>
            <a:rPr lang="en-US" altLang="ko-KR"/>
            <a:t>TH = 10 =&gt; SCORE: 10'334'347'820</a:t>
          </a:r>
        </a:p>
        <a:p>
          <a:r>
            <a:rPr lang="en-US" altLang="ko-KR"/>
            <a:t>TH = 15 =&gt; SCORE:  9'504'272'800</a:t>
          </a:r>
        </a:p>
        <a:p>
          <a:r>
            <a:rPr lang="en-US" altLang="ko-KR"/>
            <a:t>TH = 20 =&gt; SCORE:  9'349'203'960 =&gt; 9'179'669'400 (9107311680)</a:t>
          </a:r>
        </a:p>
        <a:p>
          <a:r>
            <a:rPr lang="en-US" altLang="ko-KR"/>
            <a:t>TH = 30 =&gt; SCORE:  9'741'425'740 =&gt; 9'129'758'500 (9003347400)</a:t>
          </a:r>
        </a:p>
        <a:p>
          <a:r>
            <a:rPr lang="en-US" altLang="ko-KR"/>
            <a:t>TH = 40 =&gt; SCORE: 10'492'700'260</a:t>
          </a:r>
        </a:p>
        <a:p>
          <a:r>
            <a:rPr lang="en-US" altLang="ko-KR"/>
            <a:t>TH = 50 =&gt; SCORE: 11'367'644'540</a:t>
          </a:r>
        </a:p>
        <a:p>
          <a:r>
            <a:rPr lang="en-US" altLang="ko-KR"/>
            <a:t>PASS</a:t>
          </a:r>
        </a:p>
        <a:p>
          <a:r>
            <a:rPr lang="en-US" altLang="ko-KR" b="1"/>
            <a:t>[</a:t>
          </a:r>
          <a:r>
            <a:rPr lang="ko-KR" altLang="en-US" b="1"/>
            <a:t>고찰</a:t>
          </a:r>
          <a:r>
            <a:rPr lang="en-US" altLang="ko-KR" b="1"/>
            <a:t>]</a:t>
          </a:r>
          <a:endParaRPr lang="ko-KR" altLang="en-US"/>
        </a:p>
        <a:p>
          <a:r>
            <a:rPr lang="ko-KR" altLang="en-US"/>
            <a:t>* 위 구현들은 배송지 우선순위가 없이 주어진 순서대로 센터를 선택한 버전이다</a:t>
          </a:r>
          <a:r>
            <a:rPr lang="en-US" altLang="ko-KR"/>
            <a:t>.</a:t>
          </a:r>
        </a:p>
        <a:p>
          <a:r>
            <a:rPr lang="en-US" altLang="ko-KR"/>
            <a:t>* </a:t>
          </a:r>
          <a:r>
            <a:rPr lang="ko-KR" altLang="en-US"/>
            <a:t>배송지에 우선순위를 부여한다면 어떨까</a:t>
          </a:r>
          <a:r>
            <a:rPr lang="en-US" altLang="ko-KR"/>
            <a:t>?</a:t>
          </a:r>
        </a:p>
        <a:p>
          <a:r>
            <a:rPr lang="en-US" altLang="ko-KR"/>
            <a:t>   </a:t>
          </a:r>
          <a:r>
            <a:rPr lang="ko-KR" altLang="en-US"/>
            <a:t>예를 들자면 맵의 중심으로부터 가장 먼 배송지는 맵의 중심으로부터 가까운 배송지보다</a:t>
          </a:r>
        </a:p>
        <a:p>
          <a:r>
            <a:rPr lang="ko-KR" altLang="en-US"/>
            <a:t>   센터를 선택하는 선택의 폭이 좁다</a:t>
          </a:r>
          <a:r>
            <a:rPr lang="en-US" altLang="ko-KR"/>
            <a:t>. </a:t>
          </a:r>
          <a:r>
            <a:rPr lang="ko-KR" altLang="en-US"/>
            <a:t>따라서 맵의 중심으로부터 먼 배송지부터 센터를 선택하는</a:t>
          </a:r>
          <a:br>
            <a:rPr lang="ko-KR" altLang="en-US"/>
          </a:br>
          <a:r>
            <a:rPr lang="ko-KR" altLang="en-US"/>
            <a:t>   전략을 시도해볼 수 있다</a:t>
          </a:r>
          <a:r>
            <a:rPr lang="en-US" altLang="ko-KR"/>
            <a:t>.</a:t>
          </a:r>
        </a:p>
        <a:p>
          <a:endParaRPr lang="en-US" altLang="ko-KR"/>
        </a:p>
        <a:p>
          <a:r>
            <a:rPr lang="en-US" altLang="ko-KR" b="1"/>
            <a:t>[</a:t>
          </a:r>
          <a:r>
            <a:rPr lang="ko-KR" altLang="en-US" b="1"/>
            <a:t>해법 연구</a:t>
          </a:r>
          <a:r>
            <a:rPr lang="en-US" altLang="ko-KR" b="1"/>
            <a:t>3]</a:t>
          </a:r>
          <a:endParaRPr lang="ko-KR" altLang="en-US"/>
        </a:p>
        <a:p>
          <a:r>
            <a:rPr lang="en-US" altLang="ko-KR"/>
            <a:t>1. </a:t>
          </a:r>
          <a:r>
            <a:rPr lang="ko-KR" altLang="en-US"/>
            <a:t>센터별 물품 재고표를 작성한다</a:t>
          </a:r>
          <a:r>
            <a:rPr lang="en-US" altLang="ko-KR"/>
            <a:t>.</a:t>
          </a:r>
        </a:p>
        <a:p>
          <a:r>
            <a:rPr lang="en-US" altLang="ko-KR"/>
            <a:t>   </a:t>
          </a:r>
          <a:r>
            <a:rPr lang="ko-KR" altLang="en-US"/>
            <a:t>아래 과정</a:t>
          </a:r>
          <a:r>
            <a:rPr lang="en-US" altLang="ko-KR"/>
            <a:t>2</a:t>
          </a:r>
          <a:r>
            <a:rPr lang="ko-KR" altLang="en-US"/>
            <a:t>의 시간복잡도 개선을 위하여 물품별 센터목록을 준비한다</a:t>
          </a:r>
          <a:r>
            <a:rPr lang="en-US" altLang="ko-KR"/>
            <a:t>.</a:t>
          </a:r>
        </a:p>
        <a:p>
          <a:r>
            <a:rPr lang="en-US" altLang="ko-KR"/>
            <a:t>   </a:t>
          </a:r>
          <a:r>
            <a:rPr lang="ko-KR" altLang="en-US"/>
            <a:t>데이터를 분석해 보면 물품별 센터목록의 길이는 대부분 </a:t>
          </a:r>
          <a:r>
            <a:rPr lang="en-US" altLang="ko-KR"/>
            <a:t>1</a:t>
          </a:r>
          <a:r>
            <a:rPr lang="ko-KR" altLang="en-US"/>
            <a:t>자리이고 최대 </a:t>
          </a:r>
          <a:r>
            <a:rPr lang="en-US" altLang="ko-KR"/>
            <a:t>16</a:t>
          </a:r>
          <a:r>
            <a:rPr lang="ko-KR" altLang="en-US"/>
            <a:t>개이다</a:t>
          </a:r>
          <a:r>
            <a:rPr lang="en-US" altLang="ko-KR"/>
            <a:t>.</a:t>
          </a:r>
        </a:p>
        <a:p>
          <a:r>
            <a:rPr lang="en-US" altLang="ko-KR"/>
            <a:t>2. </a:t>
          </a:r>
          <a:r>
            <a:rPr lang="ko-KR" altLang="en-US"/>
            <a:t>배송지를 센터에 할당한다</a:t>
          </a:r>
          <a:r>
            <a:rPr lang="en-US" altLang="ko-KR"/>
            <a:t>.</a:t>
          </a:r>
        </a:p>
        <a:p>
          <a:r>
            <a:rPr lang="en-US" altLang="ko-KR"/>
            <a:t>   </a:t>
          </a:r>
          <a:r>
            <a:rPr lang="ko-KR" altLang="en-US"/>
            <a:t>위 과정 </a:t>
          </a:r>
          <a:r>
            <a:rPr lang="en-US" altLang="ko-KR"/>
            <a:t>1</a:t>
          </a:r>
          <a:r>
            <a:rPr lang="ko-KR" altLang="en-US"/>
            <a:t>번을 이용하여 평균 시간이 </a:t>
          </a:r>
          <a:r>
            <a:rPr lang="en-US" altLang="ko-KR"/>
            <a:t>O(DLM * 10)</a:t>
          </a:r>
          <a:r>
            <a:rPr lang="ko-KR" altLang="en-US"/>
            <a:t>정도가 된다</a:t>
          </a:r>
          <a:r>
            <a:rPr lang="en-US" altLang="ko-KR"/>
            <a:t>.</a:t>
          </a:r>
        </a:p>
        <a:p>
          <a:r>
            <a:rPr lang="en-US" altLang="ko-KR"/>
            <a:t>3. </a:t>
          </a:r>
          <a:r>
            <a:rPr lang="ko-KR" altLang="en-US"/>
            <a:t>트럭 배송은 다음 프로세스를 따른다</a:t>
          </a:r>
          <a:r>
            <a:rPr lang="en-US" altLang="ko-KR"/>
            <a:t>.</a:t>
          </a:r>
        </a:p>
        <a:p>
          <a:r>
            <a:rPr lang="en-US" altLang="ko-KR"/>
            <a:t>   1) </a:t>
          </a:r>
          <a:r>
            <a:rPr lang="ko-KR" altLang="en-US"/>
            <a:t>트럭이 가장 가까운 배송할 물품이 남아 있는 센터로 이동한다</a:t>
          </a:r>
          <a:r>
            <a:rPr lang="en-US" altLang="ko-KR"/>
            <a:t>.</a:t>
          </a:r>
        </a:p>
        <a:p>
          <a:r>
            <a:rPr lang="en-US" altLang="ko-KR"/>
            <a:t>   2) </a:t>
          </a:r>
          <a:r>
            <a:rPr lang="ko-KR" altLang="en-US"/>
            <a:t>센터에서에서 가장 가까운 물품</a:t>
          </a:r>
          <a:r>
            <a:rPr lang="en-US" altLang="ko-KR"/>
            <a:t>1</a:t>
          </a:r>
          <a:r>
            <a:rPr lang="ko-KR" altLang="en-US"/>
            <a:t>을 적재한다</a:t>
          </a:r>
          <a:r>
            <a:rPr lang="en-US" altLang="ko-KR"/>
            <a:t>.</a:t>
          </a:r>
        </a:p>
        <a:p>
          <a:r>
            <a:rPr lang="en-US" altLang="ko-KR"/>
            <a:t>      </a:t>
          </a:r>
          <a:r>
            <a:rPr lang="ko-KR" altLang="en-US"/>
            <a:t>물품</a:t>
          </a:r>
          <a:r>
            <a:rPr lang="en-US" altLang="ko-KR"/>
            <a:t>1</a:t>
          </a:r>
          <a:r>
            <a:rPr lang="ko-KR" altLang="en-US"/>
            <a:t>에서 가장 가까운 물품</a:t>
          </a:r>
          <a:r>
            <a:rPr lang="en-US" altLang="ko-KR"/>
            <a:t>2</a:t>
          </a:r>
          <a:r>
            <a:rPr lang="ko-KR" altLang="en-US"/>
            <a:t>를 적재한다</a:t>
          </a:r>
          <a:r>
            <a:rPr lang="en-US" altLang="ko-KR"/>
            <a:t>.</a:t>
          </a:r>
        </a:p>
        <a:p>
          <a:r>
            <a:rPr lang="en-US" altLang="ko-KR"/>
            <a:t>      </a:t>
          </a:r>
          <a:r>
            <a:rPr lang="ko-KR" altLang="en-US"/>
            <a:t>물품</a:t>
          </a:r>
          <a:r>
            <a:rPr lang="en-US" altLang="ko-KR"/>
            <a:t>2</a:t>
          </a:r>
          <a:r>
            <a:rPr lang="ko-KR" altLang="en-US"/>
            <a:t>에서 가장 가까운 물품</a:t>
          </a:r>
          <a:r>
            <a:rPr lang="en-US" altLang="ko-KR"/>
            <a:t>3</a:t>
          </a:r>
          <a:r>
            <a:rPr lang="ko-KR" altLang="en-US"/>
            <a:t>을</a:t>
          </a:r>
          <a:r>
            <a:rPr lang="en-US" altLang="ko-KR"/>
            <a:t>...</a:t>
          </a:r>
        </a:p>
        <a:p>
          <a:r>
            <a:rPr lang="en-US" altLang="ko-KR"/>
            <a:t>   3) </a:t>
          </a:r>
          <a:r>
            <a:rPr lang="ko-KR" altLang="en-US"/>
            <a:t>적재한 모든 물품을 배송하고 </a:t>
          </a:r>
          <a:r>
            <a:rPr lang="en-US" altLang="ko-KR"/>
            <a:t>1~3</a:t>
          </a:r>
          <a:r>
            <a:rPr lang="ko-KR" altLang="en-US"/>
            <a:t>전략을 배송이 완료될때까지 반복한다</a:t>
          </a:r>
          <a:r>
            <a:rPr lang="en-US" altLang="ko-KR"/>
            <a:t>.</a:t>
          </a:r>
        </a:p>
        <a:p>
          <a:r>
            <a:rPr lang="en-US" altLang="ko-KR"/>
            <a:t>4. [</a:t>
          </a:r>
          <a:r>
            <a:rPr lang="ko-KR" altLang="en-US"/>
            <a:t>해법 연구</a:t>
          </a:r>
          <a:r>
            <a:rPr lang="en-US" altLang="ko-KR"/>
            <a:t>1]</a:t>
          </a:r>
          <a:r>
            <a:rPr lang="ko-KR" altLang="en-US"/>
            <a:t>의 고찰을 적용</a:t>
          </a:r>
          <a:r>
            <a:rPr lang="en-US" altLang="ko-KR"/>
            <a:t>.</a:t>
          </a:r>
        </a:p>
        <a:p>
          <a:r>
            <a:rPr lang="en-US" altLang="ko-KR"/>
            <a:t>   </a:t>
          </a:r>
          <a:r>
            <a:rPr lang="ko-KR" altLang="en-US"/>
            <a:t>아래와 같은 경우 </a:t>
          </a:r>
          <a:r>
            <a:rPr lang="en-US" altLang="ko-KR"/>
            <a:t>(4)</a:t>
          </a:r>
          <a:r>
            <a:rPr lang="ko-KR" altLang="en-US"/>
            <a:t>번 배송지 물품을 제외하고 </a:t>
          </a:r>
          <a:r>
            <a:rPr lang="en-US" altLang="ko-KR"/>
            <a:t>(1), (2), (3)</a:t>
          </a:r>
          <a:r>
            <a:rPr lang="ko-KR" altLang="en-US"/>
            <a:t>들만 함께 배송하고</a:t>
          </a:r>
        </a:p>
        <a:p>
          <a:r>
            <a:rPr lang="ko-KR" altLang="en-US"/>
            <a:t>   빈차로 </a:t>
          </a:r>
          <a:r>
            <a:rPr lang="en-US" altLang="ko-KR"/>
            <a:t>center</a:t>
          </a:r>
          <a:r>
            <a:rPr lang="ko-KR" altLang="en-US"/>
            <a:t>로 돌아온 후에 </a:t>
          </a:r>
          <a:r>
            <a:rPr lang="en-US" altLang="ko-KR"/>
            <a:t>(4)</a:t>
          </a:r>
          <a:r>
            <a:rPr lang="ko-KR" altLang="en-US"/>
            <a:t>번을 배송하는 것이 더 좋다</a:t>
          </a:r>
          <a:r>
            <a:rPr lang="en-US" altLang="ko-KR"/>
            <a:t>.</a:t>
          </a:r>
        </a:p>
        <a:p>
          <a:r>
            <a:rPr lang="ko-KR" altLang="en-US"/>
            <a:t>예</a:t>
          </a:r>
          <a:r>
            <a:rPr lang="en-US" altLang="ko-KR"/>
            <a:t>) (4) -- 10 -- [center] -- 10 -- (1)  ---- 20 ---- (2) ------- 30 ------ (3)</a:t>
          </a:r>
        </a:p>
        <a:p>
          <a:r>
            <a:rPr lang="en-US" altLang="ko-KR"/>
            <a:t>[load cost]</a:t>
          </a:r>
        </a:p>
        <a:p>
          <a:r>
            <a:rPr lang="en-US" altLang="ko-KR"/>
            <a:t>{10 </a:t>
          </a:r>
          <a:r>
            <a:rPr lang="en-US" altLang="ko-KR" i="1"/>
            <a:t>( 100 + 4 </a:t>
          </a:r>
          <a:r>
            <a:rPr lang="en-US" altLang="ko-KR"/>
            <a:t>10)} + {20 </a:t>
          </a:r>
          <a:r>
            <a:rPr lang="en-US" altLang="ko-KR" i="1"/>
            <a:t>( 100 + 3 </a:t>
          </a:r>
          <a:r>
            <a:rPr lang="en-US" altLang="ko-KR"/>
            <a:t>10)} + {30 </a:t>
          </a:r>
          <a:r>
            <a:rPr lang="en-US" altLang="ko-KR" i="1"/>
            <a:t>( 100 + 2 </a:t>
          </a:r>
          <a:r>
            <a:rPr lang="en-US" altLang="ko-KR"/>
            <a:t>10)} + {70 </a:t>
          </a:r>
          <a:r>
            <a:rPr lang="en-US" altLang="ko-KR" i="1"/>
            <a:t>( 100 + 1 </a:t>
          </a:r>
          <a:r>
            <a:rPr lang="en-US" altLang="ko-KR"/>
            <a:t>10)}</a:t>
          </a:r>
        </a:p>
        <a:p>
          <a:r>
            <a:rPr lang="en-US" altLang="ko-KR"/>
            <a:t>= 1400 + 2600 + 3600 + 7700 = 15300</a:t>
          </a:r>
        </a:p>
        <a:p>
          <a:r>
            <a:rPr lang="en-US" altLang="ko-KR"/>
            <a:t>[unload cost]</a:t>
          </a:r>
        </a:p>
        <a:p>
          <a:r>
            <a:rPr lang="en-US" altLang="ko-KR"/>
            <a:t>{10 </a:t>
          </a:r>
          <a:r>
            <a:rPr lang="en-US" altLang="ko-KR" i="1"/>
            <a:t>( 100 + 3 </a:t>
          </a:r>
          <a:r>
            <a:rPr lang="en-US" altLang="ko-KR"/>
            <a:t>10)} + {20 </a:t>
          </a:r>
          <a:r>
            <a:rPr lang="en-US" altLang="ko-KR" i="1"/>
            <a:t>( 100 + 2 </a:t>
          </a:r>
          <a:r>
            <a:rPr lang="en-US" altLang="ko-KR"/>
            <a:t>10)} + {30 </a:t>
          </a:r>
          <a:r>
            <a:rPr lang="en-US" altLang="ko-KR" i="1"/>
            <a:t>( 100 + 1 </a:t>
          </a:r>
          <a:r>
            <a:rPr lang="en-US" altLang="ko-KR"/>
            <a:t>10)} + 60* 100 + {10 </a:t>
          </a:r>
          <a:r>
            <a:rPr lang="en-US" altLang="ko-KR" i="1"/>
            <a:t>( 100 + 1 </a:t>
          </a:r>
          <a:r>
            <a:rPr lang="en-US" altLang="ko-KR"/>
            <a:t>10)}</a:t>
          </a:r>
        </a:p>
        <a:p>
          <a:r>
            <a:rPr lang="en-US" altLang="ko-KR"/>
            <a:t>= 1300 + 2400 + 3300 + 6000 + 1100 = 14100</a:t>
          </a:r>
        </a:p>
        <a:p>
          <a:r>
            <a:rPr lang="en-US" altLang="ko-KR"/>
            <a:t>5. [</a:t>
          </a:r>
          <a:r>
            <a:rPr lang="ko-KR" altLang="en-US"/>
            <a:t>해법 연구</a:t>
          </a:r>
          <a:r>
            <a:rPr lang="en-US" altLang="ko-KR"/>
            <a:t>2]</a:t>
          </a:r>
          <a:r>
            <a:rPr lang="ko-KR" altLang="en-US"/>
            <a:t>의 고찰을 적용한 버전이다</a:t>
          </a:r>
          <a:r>
            <a:rPr lang="en-US" altLang="ko-KR"/>
            <a:t>.</a:t>
          </a:r>
        </a:p>
        <a:p>
          <a:r>
            <a:rPr lang="en-US" altLang="ko-KR"/>
            <a:t>   </a:t>
          </a:r>
          <a:r>
            <a:rPr lang="ko-KR" altLang="en-US"/>
            <a:t>맵의 중심으로부터 각 배송지까지 맨해튼 거리가 먼 배송지를 우선하여 센터를 배정한다</a:t>
          </a:r>
          <a:r>
            <a:rPr lang="en-US" altLang="ko-KR"/>
            <a:t>.</a:t>
          </a:r>
        </a:p>
        <a:p>
          <a:r>
            <a:rPr lang="en-US" altLang="ko-KR"/>
            <a:t>   </a:t>
          </a:r>
          <a:r>
            <a:rPr lang="ko-KR" altLang="en-US"/>
            <a:t>아래와 같이 점수를 개선할 수 있다</a:t>
          </a:r>
          <a:r>
            <a:rPr lang="en-US" altLang="ko-KR"/>
            <a:t>.</a:t>
          </a:r>
        </a:p>
        <a:p>
          <a:r>
            <a:rPr lang="en-US" altLang="ko-KR"/>
            <a:t>TH = 20,  SCORE:  9'112'919'700 =&gt; 9'005'619'360</a:t>
          </a:r>
        </a:p>
        <a:p>
          <a:r>
            <a:rPr lang="en-US" altLang="ko-KR"/>
            <a:t>TH = 30,  SCORE:  8'986'218'900 =&gt; 8'877'579'420</a:t>
          </a:r>
        </a:p>
        <a:p>
          <a:r>
            <a:rPr lang="en-US" altLang="ko-KR"/>
            <a:t>PASS</a:t>
          </a:r>
        </a:p>
        <a:p>
          <a:endParaRPr lang="en-US" altLang="ko-KR"/>
        </a:p>
        <a:p>
          <a:endParaRPr lang="en-US" altLang="ko-KR"/>
        </a:p>
        <a:p>
          <a:r>
            <a:rPr lang="en-US" altLang="ko-KR" b="1"/>
            <a:t>[Summary]</a:t>
          </a:r>
          <a:endParaRPr lang="en-US" altLang="ko-KR"/>
        </a:p>
        <a:p>
          <a:r>
            <a:rPr lang="en-US" altLang="ko-KR"/>
            <a:t>1.</a:t>
          </a:r>
          <a:r>
            <a:rPr lang="ko-KR" altLang="en-US"/>
            <a:t>배열에서 원소들이 순서를 유지할 필요가 없는 경우 삭제 연산을 </a:t>
          </a:r>
          <a:r>
            <a:rPr lang="en-US" altLang="ko-KR"/>
            <a:t>O(1)</a:t>
          </a:r>
          <a:r>
            <a:rPr lang="ko-KR" altLang="en-US"/>
            <a:t>에 처리할 수 있다</a:t>
          </a:r>
          <a:r>
            <a:rPr lang="en-US" altLang="ko-KR"/>
            <a:t>.</a:t>
          </a:r>
        </a:p>
        <a:p>
          <a:r>
            <a:rPr lang="en-US" altLang="ko-KR"/>
            <a:t>    (1) </a:t>
          </a:r>
          <a:r>
            <a:rPr lang="ko-KR" altLang="en-US"/>
            <a:t>배열의 마지막 원소를 삭제될 원소자리에 복사한다</a:t>
          </a:r>
          <a:r>
            <a:rPr lang="en-US" altLang="ko-KR"/>
            <a:t>.</a:t>
          </a:r>
        </a:p>
        <a:p>
          <a:r>
            <a:rPr lang="en-US" altLang="ko-KR"/>
            <a:t>    (2) </a:t>
          </a:r>
          <a:r>
            <a:rPr lang="ko-KR" altLang="en-US"/>
            <a:t>배열의 마지막 원소를 삭제한다</a:t>
          </a:r>
          <a:r>
            <a:rPr lang="en-US" altLang="ko-KR"/>
            <a:t>.</a:t>
          </a:r>
        </a:p>
        <a:p>
          <a:r>
            <a:rPr lang="en-US" altLang="ko-KR"/>
            <a:t>2. 2</a:t>
          </a:r>
          <a:r>
            <a:rPr lang="ko-KR" altLang="en-US"/>
            <a:t>차원 배열의 탐색은 </a:t>
          </a:r>
          <a:r>
            <a:rPr lang="en-US" altLang="ko-KR"/>
            <a:t>row major order </a:t>
          </a:r>
          <a:r>
            <a:rPr lang="ko-KR" altLang="en-US"/>
            <a:t>탐색이 </a:t>
          </a:r>
          <a:r>
            <a:rPr lang="en-US" altLang="ko-KR"/>
            <a:t>column major order </a:t>
          </a:r>
          <a:r>
            <a:rPr lang="ko-KR" altLang="en-US"/>
            <a:t>탐색보다 거의 두배 빠르다</a:t>
          </a:r>
          <a:r>
            <a:rPr lang="en-US" altLang="ko-KR"/>
            <a:t>.</a:t>
          </a:r>
        </a:p>
        <a:p>
          <a:r>
            <a:rPr lang="en-US" altLang="ko-KR"/>
            <a:t>    </a:t>
          </a:r>
          <a:r>
            <a:rPr lang="ko-KR" altLang="en-US"/>
            <a:t>알고리즘 설계 및 코딩과정에서 이를 활용할 수 있어야 한다</a:t>
          </a:r>
          <a:r>
            <a:rPr lang="en-US" altLang="ko-KR"/>
            <a:t>.</a:t>
          </a:r>
        </a:p>
        <a:p>
          <a:r>
            <a:rPr lang="en-US" altLang="ko-KR"/>
            <a:t>3. </a:t>
          </a:r>
          <a:r>
            <a:rPr lang="ko-KR" altLang="en-US"/>
            <a:t>문제가 어렵게 느껴진다면 다른 사람도 같은 느낌이다</a:t>
          </a:r>
          <a:r>
            <a:rPr lang="en-US" altLang="ko-KR"/>
            <a:t>.</a:t>
          </a:r>
        </a:p>
        <a:p>
          <a:r>
            <a:rPr lang="en-US" altLang="ko-KR"/>
            <a:t>    </a:t>
          </a:r>
          <a:r>
            <a:rPr lang="ko-KR" altLang="en-US"/>
            <a:t>이런 경우 문제의 완성만으로 합격하는 경우도 간혹 있다</a:t>
          </a:r>
          <a:r>
            <a:rPr lang="en-US" altLang="ko-KR"/>
            <a:t>.</a:t>
          </a:r>
        </a:p>
        <a:p>
          <a:r>
            <a:rPr lang="en-US" altLang="ko-KR"/>
            <a:t>    </a:t>
          </a:r>
          <a:r>
            <a:rPr lang="ko-KR" altLang="en-US"/>
            <a:t>성능이전에 구현의 완성이 우선이다</a:t>
          </a:r>
          <a:r>
            <a:rPr lang="en-US" altLang="ko-KR"/>
            <a:t>.</a:t>
          </a:r>
        </a:p>
        <a:p>
          <a:endParaRPr lang="en-US" altLang="ko-KR" sz="1100" baseline="0"/>
        </a:p>
      </xdr:txBody>
    </xdr:sp>
    <xdr:clientData/>
  </xdr:twoCellAnchor>
  <xdr:twoCellAnchor>
    <xdr:from>
      <xdr:col>30</xdr:col>
      <xdr:colOff>553447</xdr:colOff>
      <xdr:row>57</xdr:row>
      <xdr:rowOff>63837</xdr:rowOff>
    </xdr:from>
    <xdr:to>
      <xdr:col>38</xdr:col>
      <xdr:colOff>661290</xdr:colOff>
      <xdr:row>58</xdr:row>
      <xdr:rowOff>205375</xdr:rowOff>
    </xdr:to>
    <xdr:sp macro="" textlink="">
      <xdr:nvSpPr>
        <xdr:cNvPr id="5" name="직사각형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CCBB25-6128-491A-8869-7978A923F8BA}"/>
            </a:ext>
          </a:extLst>
        </xdr:cNvPr>
        <xdr:cNvSpPr/>
      </xdr:nvSpPr>
      <xdr:spPr>
        <a:xfrm>
          <a:off x="20402082" y="12600202"/>
          <a:ext cx="5441843" cy="361346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latinLnBrk="0"/>
          <a:r>
            <a:rPr lang="en-US" altLang="ko-K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row-major (</a:t>
          </a:r>
          <a:r>
            <a:rPr lang="ko-KR" alt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행 우선</a:t>
          </a:r>
          <a:r>
            <a:rPr lang="en-US" altLang="ko-K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), column-major(</a:t>
          </a:r>
          <a:r>
            <a:rPr lang="ko-KR" alt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열 우선</a:t>
          </a:r>
          <a:r>
            <a:rPr lang="en-US" altLang="ko-K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ko-KR" alt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가 왜 중요한가</a:t>
          </a:r>
          <a:r>
            <a:rPr lang="en-US" altLang="ko-K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?</a:t>
          </a:r>
        </a:p>
      </xdr:txBody>
    </xdr:sp>
    <xdr:clientData/>
  </xdr:twoCellAnchor>
  <xdr:twoCellAnchor>
    <xdr:from>
      <xdr:col>30</xdr:col>
      <xdr:colOff>553447</xdr:colOff>
      <xdr:row>59</xdr:row>
      <xdr:rowOff>105708</xdr:rowOff>
    </xdr:from>
    <xdr:to>
      <xdr:col>38</xdr:col>
      <xdr:colOff>661290</xdr:colOff>
      <xdr:row>61</xdr:row>
      <xdr:rowOff>11853</xdr:rowOff>
    </xdr:to>
    <xdr:sp macro="" textlink="">
      <xdr:nvSpPr>
        <xdr:cNvPr id="6" name="직사각형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7CB00CD-5F8E-4D16-866C-E0B5FB0C38AC}"/>
            </a:ext>
          </a:extLst>
        </xdr:cNvPr>
        <xdr:cNvSpPr/>
      </xdr:nvSpPr>
      <xdr:spPr>
        <a:xfrm>
          <a:off x="20402082" y="13081689"/>
          <a:ext cx="5441843" cy="34576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US" altLang="ko-K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ko-KR" alt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언어에서 중첩 반복문 최적화</a:t>
          </a:r>
          <a:r>
            <a:rPr lang="en-US" altLang="ko-K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성능 개선을 위한 실전 팁</a:t>
          </a:r>
        </a:p>
      </xdr:txBody>
    </xdr:sp>
    <xdr:clientData/>
  </xdr:twoCellAnchor>
  <xdr:twoCellAnchor>
    <xdr:from>
      <xdr:col>11</xdr:col>
      <xdr:colOff>131446</xdr:colOff>
      <xdr:row>1</xdr:row>
      <xdr:rowOff>0</xdr:rowOff>
    </xdr:from>
    <xdr:to>
      <xdr:col>29</xdr:col>
      <xdr:colOff>155271</xdr:colOff>
      <xdr:row>43</xdr:row>
      <xdr:rowOff>154235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id="{7A973FF8-6DB0-4A5D-8595-F1D416EDAF39}"/>
            </a:ext>
          </a:extLst>
        </xdr:cNvPr>
        <xdr:cNvGrpSpPr/>
      </xdr:nvGrpSpPr>
      <xdr:grpSpPr>
        <a:xfrm>
          <a:off x="7323554" y="228600"/>
          <a:ext cx="12051702" cy="9509250"/>
          <a:chOff x="877381" y="621712"/>
          <a:chExt cx="12117331" cy="8394809"/>
        </a:xfrm>
      </xdr:grpSpPr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889B76F-EAF7-3D75-FE06-F6A2B0B3A948}"/>
              </a:ext>
            </a:extLst>
          </xdr:cNvPr>
          <xdr:cNvSpPr txBox="1"/>
        </xdr:nvSpPr>
        <xdr:spPr>
          <a:xfrm>
            <a:off x="877381" y="621712"/>
            <a:ext cx="12117331" cy="839480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100"/>
              <a:t>[</a:t>
            </a:r>
            <a:r>
              <a:rPr lang="ko-KR" altLang="en-US" sz="1100"/>
              <a:t>문제 개요</a:t>
            </a:r>
            <a:r>
              <a:rPr lang="en-US" altLang="ko-KR" sz="1100"/>
              <a:t>]</a:t>
            </a:r>
          </a:p>
          <a:p>
            <a:r>
              <a:rPr lang="en-US" altLang="ko-KR" sz="1100"/>
              <a:t>* 1000* 1000 </a:t>
            </a:r>
            <a:r>
              <a:rPr lang="ko-KR" altLang="en-US" sz="1100"/>
              <a:t>크기의 </a:t>
            </a:r>
            <a:r>
              <a:rPr lang="en-US" altLang="ko-KR" sz="1100"/>
              <a:t>2</a:t>
            </a:r>
            <a:r>
              <a:rPr lang="ko-KR" altLang="en-US" sz="1100"/>
              <a:t>차원 테이블에 </a:t>
            </a:r>
            <a:r>
              <a:rPr lang="en-US" altLang="ko-KR" sz="1100"/>
              <a:t>1,000</a:t>
            </a:r>
            <a:r>
              <a:rPr lang="ko-KR" altLang="en-US" sz="1100"/>
              <a:t>개의 물류 센터가 랜덤하게 분포되어 있다</a:t>
            </a:r>
            <a:r>
              <a:rPr lang="en-US" altLang="ko-KR" sz="1100"/>
              <a:t>. (</a:t>
            </a:r>
            <a:r>
              <a:rPr lang="ko-KR" altLang="en-US" sz="1100"/>
              <a:t>한 곳에 </a:t>
            </a:r>
            <a:r>
              <a:rPr lang="en-US" altLang="ko-KR" sz="1100"/>
              <a:t>2</a:t>
            </a:r>
            <a:r>
              <a:rPr lang="ko-KR" altLang="en-US" sz="1100"/>
              <a:t>개 이상이 겹치지 않는다</a:t>
            </a:r>
            <a:r>
              <a:rPr lang="en-US" altLang="ko-KR" sz="1100"/>
              <a:t>.)</a:t>
            </a:r>
          </a:p>
          <a:p>
            <a:r>
              <a:rPr lang="en-US" altLang="ko-KR" sz="1100"/>
              <a:t>     </a:t>
            </a:r>
            <a:r>
              <a:rPr lang="ko-KR" altLang="en-US" sz="1100"/>
              <a:t>각 센터에는 최대 </a:t>
            </a:r>
            <a:r>
              <a:rPr lang="en-US" altLang="ko-KR" sz="1100"/>
              <a:t>100</a:t>
            </a:r>
            <a:r>
              <a:rPr lang="ko-KR" altLang="en-US" sz="1100"/>
              <a:t>종류의 물품이 최대 </a:t>
            </a:r>
            <a:r>
              <a:rPr lang="en-US" altLang="ko-KR" sz="1100"/>
              <a:t>10,000</a:t>
            </a:r>
            <a:r>
              <a:rPr lang="ko-KR" altLang="en-US" sz="1100"/>
              <a:t>개 입고 된다</a:t>
            </a:r>
            <a:r>
              <a:rPr lang="en-US" altLang="ko-KR" sz="1100"/>
              <a:t>.</a:t>
            </a:r>
          </a:p>
          <a:p>
            <a:r>
              <a:rPr lang="en-US" altLang="ko-KR" sz="1100"/>
              <a:t>*</a:t>
            </a:r>
            <a:r>
              <a:rPr lang="en-US" altLang="ko-KR" sz="1100" baseline="0"/>
              <a:t> </a:t>
            </a:r>
            <a:r>
              <a:rPr lang="ko-KR" altLang="en-US" sz="1100" baseline="0"/>
              <a:t>물품의 종류는 </a:t>
            </a:r>
            <a:r>
              <a:rPr lang="en-US" altLang="ko-KR" sz="1100" baseline="0"/>
              <a:t>10,000 </a:t>
            </a:r>
            <a:r>
              <a:rPr lang="ko-KR" altLang="en-US" sz="1100" baseline="0"/>
              <a:t>가지가 있다</a:t>
            </a:r>
            <a:r>
              <a:rPr lang="en-US" altLang="ko-KR" sz="1100" baseline="0"/>
              <a:t>.</a:t>
            </a:r>
            <a:endParaRPr lang="en-US" altLang="ko-KR" sz="1100"/>
          </a:p>
          <a:p>
            <a:r>
              <a:rPr lang="en-US" altLang="ko-KR" sz="1100"/>
              <a:t>* </a:t>
            </a:r>
            <a:r>
              <a:rPr lang="en-US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1000* 1000 </a:t>
            </a:r>
            <a:r>
              <a:rPr lang="ko-KR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크기의 </a:t>
            </a:r>
            <a:r>
              <a:rPr lang="en-US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2</a:t>
            </a:r>
            <a:r>
              <a:rPr lang="ko-KR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차원 테이블에 </a:t>
            </a:r>
            <a:r>
              <a:rPr lang="en-US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1,000,000 </a:t>
            </a:r>
            <a:r>
              <a:rPr lang="ko-KR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명의 배송지가 랜덤하게 분포되어 있다</a:t>
            </a:r>
            <a:r>
              <a:rPr lang="en-US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.(</a:t>
            </a:r>
            <a:r>
              <a:rPr lang="ko-KR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한 곳에 </a:t>
            </a:r>
            <a:r>
              <a:rPr lang="en-US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2</a:t>
            </a:r>
            <a:r>
              <a:rPr lang="ko-KR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개 이상 겹칠 수 있다</a:t>
            </a:r>
            <a:r>
              <a:rPr lang="en-US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.)</a:t>
            </a:r>
          </a:p>
          <a:p>
            <a:r>
              <a:rPr lang="en-US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</a:t>
            </a:r>
            <a:r>
              <a:rPr lang="ko-KR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각 배송지에는 </a:t>
            </a:r>
            <a:r>
              <a:rPr lang="en-US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10,000</a:t>
            </a:r>
            <a:r>
              <a:rPr lang="ko-KR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개 종류</a:t>
            </a:r>
            <a:r>
              <a:rPr lang="ko-KR" altLang="en-US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중 </a:t>
            </a:r>
            <a:r>
              <a:rPr lang="ko-KR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한 개의 물품이 배송된다</a:t>
            </a:r>
            <a:r>
              <a:rPr lang="en-US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.</a:t>
            </a:r>
          </a:p>
          <a:p>
            <a:r>
              <a:rPr lang="en-US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</a:t>
            </a:r>
            <a:r>
              <a:rPr lang="ko-KR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모든 배송지는 물품을 반드시 받을 수 있도록 </a:t>
            </a:r>
            <a:r>
              <a:rPr lang="en-US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ko-KR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주어진다</a:t>
            </a:r>
            <a:r>
              <a:rPr lang="en-US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.</a:t>
            </a:r>
          </a:p>
          <a:p>
            <a:r>
              <a:rPr lang="en-US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* 1000* 1000 </a:t>
            </a:r>
            <a:r>
              <a:rPr lang="ko-KR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크기의 </a:t>
            </a:r>
            <a:r>
              <a:rPr lang="en-US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2</a:t>
            </a:r>
            <a:r>
              <a:rPr lang="ko-KR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차원 테이블</a:t>
            </a:r>
            <a:r>
              <a:rPr lang="ko-KR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의 랜덤한 위치에 택배차량 </a:t>
            </a:r>
            <a:r>
              <a:rPr lang="en-US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1</a:t>
            </a:r>
            <a:r>
              <a:rPr lang="ko-KR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대가 위치한다</a:t>
            </a:r>
            <a:r>
              <a:rPr lang="en-US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.</a:t>
            </a:r>
          </a:p>
          <a:p>
            <a:r>
              <a:rPr lang="en-US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</a:t>
            </a:r>
            <a:r>
              <a:rPr lang="ko-KR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택배차량은 최대 </a:t>
            </a:r>
            <a:r>
              <a:rPr lang="en-US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50</a:t>
            </a:r>
            <a:r>
              <a:rPr lang="ko-KR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개의 물품을 적재할 수 있다</a:t>
            </a:r>
            <a:r>
              <a:rPr lang="en-US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.</a:t>
            </a:r>
          </a:p>
          <a:p>
            <a:r>
              <a:rPr lang="en-US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</a:t>
            </a:r>
            <a:r>
              <a:rPr lang="ko-KR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택배차</a:t>
            </a:r>
            <a:r>
              <a:rPr lang="ko-KR" altLang="en-US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량 배송비용의 합이 최소가 되도록 모든 고객에게 물품을 배송하라</a:t>
            </a:r>
            <a:r>
              <a:rPr lang="en-US" altLang="ko-K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.</a:t>
            </a:r>
            <a:r>
              <a:rPr lang="en-US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</a:t>
            </a:r>
          </a:p>
          <a:p>
            <a:r>
              <a:rPr lang="en-US" altLang="ko-K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</a:t>
            </a:r>
            <a:r>
              <a:rPr lang="ko-KR" altLang="en-US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택배차량 배송비용은 다음식으로 계산된다</a:t>
            </a:r>
            <a:r>
              <a:rPr lang="en-US" altLang="ko-K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.</a:t>
            </a:r>
          </a:p>
          <a:p>
            <a:r>
              <a:rPr lang="en-US" altLang="ko-KR" sz="11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    int dist = target_pos - truck_pos;  </a:t>
            </a:r>
            <a:r>
              <a:rPr lang="en-US" altLang="ko-KR" sz="110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   </a:t>
            </a:r>
            <a:r>
              <a:rPr lang="en-US" altLang="ko-KR" sz="11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// </a:t>
            </a:r>
            <a:r>
              <a:rPr lang="ko-KR" altLang="en-US" sz="11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트럭과 </a:t>
            </a:r>
            <a:r>
              <a:rPr lang="en-US" altLang="ko-KR" sz="11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target </a:t>
            </a:r>
            <a:r>
              <a:rPr lang="ko-KR" altLang="en-US" sz="11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사이 맨해튼</a:t>
            </a:r>
            <a:r>
              <a:rPr lang="en-US" altLang="ko-KR" sz="11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(</a:t>
            </a:r>
            <a:r>
              <a:rPr lang="en-US" altLang="ko-KR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Manhattan : T</a:t>
            </a:r>
            <a:r>
              <a:rPr lang="en-US" altLang="ko-KR" sz="11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axicab)</a:t>
            </a:r>
            <a:r>
              <a:rPr lang="ko-KR" altLang="en-US" sz="11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거리</a:t>
            </a:r>
            <a:endPara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endParaRPr>
          </a:p>
          <a:p>
            <a:r>
              <a:rPr lang="en-US" altLang="ko-KR" sz="11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    SCORE += dist * (100 + truck_package_count * 10);    // </a:t>
            </a:r>
            <a:r>
              <a:rPr lang="en-US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truck_package_count: </a:t>
            </a:r>
            <a:r>
              <a:rPr lang="ko-KR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트럭에 적재된 물품 수</a:t>
            </a:r>
            <a:endPara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US" altLang="ko-K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</a:t>
            </a:r>
          </a:p>
          <a:p>
            <a:endPara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n-US" altLang="ko-K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[</a:t>
            </a:r>
            <a:r>
              <a:rPr lang="ko-KR" altLang="en-US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문제 분석</a:t>
            </a:r>
            <a:r>
              <a:rPr lang="en-US" altLang="ko-K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]</a:t>
            </a:r>
          </a:p>
          <a:p>
            <a:r>
              <a:rPr lang="en-US" altLang="ko-K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* interactive </a:t>
            </a:r>
            <a:r>
              <a:rPr lang="ko-KR" altLang="en-US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문제이다</a:t>
            </a:r>
            <a:r>
              <a:rPr lang="en-US" altLang="ko-K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.</a:t>
            </a:r>
          </a:p>
          <a:p>
            <a:r>
              <a:rPr lang="en-US" altLang="ko-K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main</a:t>
            </a:r>
            <a:r>
              <a:rPr lang="ko-KR" altLang="en-US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에 정의된 트럭으로 </a:t>
            </a:r>
            <a:r>
              <a:rPr lang="en-US" altLang="ko-K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main</a:t>
            </a:r>
            <a:r>
              <a:rPr lang="ko-KR" altLang="en-US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에 정의된 함수를 이용하여 트럭을 이동시키고 배송한다</a:t>
            </a:r>
            <a:r>
              <a:rPr lang="en-US" altLang="ko-K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.</a:t>
            </a:r>
          </a:p>
          <a:p>
            <a:r>
              <a:rPr lang="en-US" altLang="ko-K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</a:t>
            </a:r>
            <a:r>
              <a:rPr lang="ko-KR" altLang="en-US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이러한 문제의 경우 </a:t>
            </a:r>
            <a:r>
              <a:rPr lang="en-US" altLang="ko-K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user.cpp</a:t>
            </a:r>
            <a:r>
              <a:rPr lang="ko-KR" altLang="en-US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에서는 트럭 아바타를 만들어 두고</a:t>
            </a:r>
            <a:br>
              <a:rPr lang="en-US" altLang="ko-K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</a:br>
            <a:r>
              <a:rPr lang="en-US" altLang="ko-K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</a:t>
            </a:r>
            <a:r>
              <a:rPr lang="ko-KR" altLang="en-US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altLang="ko-K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main.cpp</a:t>
            </a:r>
            <a:r>
              <a:rPr lang="ko-KR" altLang="en-US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의 트럭과 똑같이 움직이는 전략을 사용한다</a:t>
            </a:r>
            <a:r>
              <a:rPr lang="en-US" altLang="ko-K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.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* 100</a:t>
            </a:r>
            <a:r>
              <a:rPr lang="ko-KR" altLang="ko-K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만명의 고객이 </a:t>
            </a:r>
            <a:r>
              <a:rPr lang="en-US" altLang="ko-K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1000</a:t>
            </a:r>
            <a:r>
              <a:rPr lang="ko-KR" altLang="ko-K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개의 물류센터로 모이는 비용을 최소화 하는 문제라면 안테나 배정과 비슷해진다</a:t>
            </a:r>
            <a:r>
              <a:rPr lang="en-US" altLang="ko-K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.</a:t>
            </a:r>
            <a:endParaRPr lang="ko-KR" altLang="ko-KR">
              <a:effectLst/>
            </a:endParaRPr>
          </a:p>
          <a:p>
            <a:r>
              <a:rPr lang="en-US" altLang="ko-K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</a:t>
            </a:r>
            <a:r>
              <a:rPr lang="ko-KR" altLang="en-US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하지만 고객이 모이는 것이 아니라 고객에게 배송해야 한다</a:t>
            </a:r>
            <a:r>
              <a:rPr lang="en-US" altLang="ko-K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. </a:t>
            </a:r>
            <a:br>
              <a:rPr lang="en-US" altLang="ko-K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</a:br>
            <a:r>
              <a:rPr lang="en-US" altLang="ko-K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</a:t>
            </a:r>
            <a:r>
              <a:rPr lang="ko-KR" altLang="en-US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또한 차량은 적재 제한 중량이 있어 배송할 물량이 없는 경우 센터에 가서 물품을 가지고 와야 한다</a:t>
            </a:r>
            <a:r>
              <a:rPr lang="en-US" altLang="ko-K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.</a:t>
            </a:r>
          </a:p>
          <a:p>
            <a:r>
              <a:rPr lang="en-US" altLang="ko-K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</a:t>
            </a:r>
            <a:r>
              <a:rPr lang="ko-KR" altLang="en-US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이때도 비용이 발생한다</a:t>
            </a:r>
            <a:r>
              <a:rPr lang="en-US" altLang="ko-K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.  </a:t>
            </a:r>
          </a:p>
          <a:p>
            <a:endPara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* </a:t>
            </a:r>
            <a:r>
              <a:rPr lang="ko-KR" altLang="ko-K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한 지점을 출발하여 나머지 모든 지점을 한 번씩 방문하고 출발지로 돌아온다면 </a:t>
            </a:r>
            <a:r>
              <a:rPr lang="en-US" altLang="ko-K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TSP(</a:t>
            </a:r>
            <a:r>
              <a:rPr lang="en-US" altLang="ko-KR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traveling salesman problem</a:t>
            </a:r>
            <a:r>
              <a:rPr lang="en-US" altLang="ko-K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r>
              <a:rPr lang="ko-KR" altLang="ko-K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문제</a:t>
            </a:r>
            <a:r>
              <a:rPr lang="ko-KR" altLang="en-US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가</a:t>
            </a:r>
            <a:r>
              <a:rPr lang="ko-KR" altLang="ko-K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되는데 이와도 다른 면이 많다</a:t>
            </a:r>
            <a:r>
              <a:rPr lang="en-US" altLang="ko-K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.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(</a:t>
            </a:r>
            <a:r>
              <a:rPr lang="ko-KR" altLang="en-US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참조 </a:t>
            </a:r>
            <a:r>
              <a:rPr lang="en-US" altLang="ko-K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: https://ko.wikipedia.org/wiki/%EC%99%B8%ED%8C%90%EC%9B%90_%EB%AC%B8%EC%A0%9C)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* </a:t>
            </a:r>
            <a:r>
              <a:rPr lang="ko-KR" altLang="en-US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차량 경로 문제</a:t>
            </a:r>
            <a:r>
              <a:rPr lang="en-US" altLang="ko-KR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(vehicle routing problem, VRP)</a:t>
            </a:r>
            <a:r>
              <a:rPr lang="ko-KR" altLang="en-US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는 </a:t>
            </a:r>
            <a:r>
              <a:rPr lang="en-US" altLang="ko-KR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Dantzig and Ramser (1959 )</a:t>
            </a:r>
            <a:r>
              <a:rPr lang="ko-KR" altLang="en-US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에 의해 제안된 것으로</a:t>
            </a:r>
            <a:endPara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</a:t>
            </a:r>
            <a:r>
              <a:rPr lang="en-US" altLang="ko-KR" sz="11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altLang="ko-KR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N</a:t>
            </a:r>
            <a:r>
              <a:rPr lang="ko-KR" altLang="en-US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개의 목적지에 </a:t>
            </a:r>
            <a:r>
              <a:rPr lang="en-US" altLang="ko-KR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K</a:t>
            </a:r>
            <a:r>
              <a:rPr lang="en-US" altLang="ko-KR" sz="11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ko-KR" altLang="en-US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대 차량이 단일 물류 창고를 중심으로 최소비용 또는 최소거리로 운송할 수 있는 경로를 구하는 문제인데 </a:t>
            </a:r>
            <a:br>
              <a:rPr lang="en-US" altLang="ko-KR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</a:br>
            <a:r>
              <a:rPr lang="en-US" altLang="ko-KR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EX</a:t>
            </a:r>
            <a:r>
              <a:rPr lang="ko-KR" altLang="en-US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물류배송은 이를 좀더 일반화 한 것으로 보인다</a:t>
            </a:r>
            <a:r>
              <a:rPr lang="en-US" altLang="ko-KR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.   (</a:t>
            </a:r>
            <a:r>
              <a:rPr lang="ko-KR" altLang="en-US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참조 </a:t>
            </a:r>
            <a:r>
              <a:rPr lang="en-US" altLang="ko-KR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: https://en.wikipedia.org/wiki/Vehicle_routing_problem )</a:t>
            </a:r>
            <a:br>
              <a:rPr lang="en-US" altLang="ko-KR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</a:br>
            <a:r>
              <a:rPr lang="en-US" altLang="ko-KR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EX</a:t>
            </a:r>
            <a:r>
              <a:rPr lang="ko-KR" altLang="en-US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물류배송은 </a:t>
            </a:r>
            <a:r>
              <a:rPr lang="en-US" altLang="ko-KR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N</a:t>
            </a:r>
            <a:r>
              <a:rPr lang="ko-KR" altLang="en-US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개의 목적지에 단일 차량이 </a:t>
            </a:r>
            <a:r>
              <a:rPr lang="en-US" altLang="ko-KR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M</a:t>
            </a:r>
            <a:r>
              <a:rPr lang="ko-KR" altLang="en-US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개 물류창고를 중심으로 최소비용으로 운송할 수 있는 경로를 구하는 문제이다</a:t>
            </a:r>
            <a:r>
              <a:rPr lang="en-US" altLang="ko-KR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.</a:t>
            </a:r>
            <a:br>
              <a:rPr lang="en-US" altLang="ko-KR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</a:br>
            <a:r>
              <a:rPr lang="en-US" altLang="ko-KR" sz="1100" b="0" i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 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1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 </a:t>
            </a:r>
            <a:r>
              <a:rPr lang="ko-KR" altLang="en-US" sz="11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어떻게 할 것인가</a:t>
            </a:r>
            <a:r>
              <a:rPr lang="en-US" altLang="ko-KR" sz="11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?</a:t>
            </a:r>
            <a:endPara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</xdr:txBody>
      </xdr:sp>
      <xdr:pic>
        <xdr:nvPicPr>
          <xdr:cNvPr id="9" name="그림 8" descr="https://upload.wikimedia.org/wikipedia/commons/thumb/1/11/GLPK_solution_of_a_travelling_salesman_problem.svg/220px-GLPK_solution_of_a_travelling_salesman_problem.svg.png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B9A96361-62D5-2491-E956-E300F8122E5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355010" y="3426532"/>
            <a:ext cx="2541590" cy="191089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그림 9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18674295-B646-29B7-468A-CDDC599756D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9796688" y="6731261"/>
            <a:ext cx="1849212" cy="1352550"/>
          </a:xfrm>
          <a:prstGeom prst="rect">
            <a:avLst/>
          </a:prstGeom>
        </xdr:spPr>
      </xdr:pic>
      <xdr:cxnSp macro="">
        <xdr:nvCxnSpPr>
          <xdr:cNvPr id="11" name="직선 화살표 연결선 10">
            <a:extLst>
              <a:ext uri="{FF2B5EF4-FFF2-40B4-BE49-F238E27FC236}">
                <a16:creationId xmlns:a16="http://schemas.microsoft.com/office/drawing/2014/main" id="{995F7C2F-7079-5ECE-1811-E6645B93075B}"/>
              </a:ext>
            </a:extLst>
          </xdr:cNvPr>
          <xdr:cNvCxnSpPr/>
        </xdr:nvCxnSpPr>
        <xdr:spPr>
          <a:xfrm flipV="1">
            <a:off x="6076970" y="4362252"/>
            <a:ext cx="2239941" cy="1618549"/>
          </a:xfrm>
          <a:prstGeom prst="straightConnector1">
            <a:avLst/>
          </a:prstGeom>
          <a:ln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2" name="직선 화살표 연결선 11">
            <a:extLst>
              <a:ext uri="{FF2B5EF4-FFF2-40B4-BE49-F238E27FC236}">
                <a16:creationId xmlns:a16="http://schemas.microsoft.com/office/drawing/2014/main" id="{BE52ED17-9B23-2DE7-3D76-6E49BEBF4824}"/>
              </a:ext>
            </a:extLst>
          </xdr:cNvPr>
          <xdr:cNvCxnSpPr>
            <a:endCxn id="10" idx="1"/>
          </xdr:cNvCxnSpPr>
        </xdr:nvCxnSpPr>
        <xdr:spPr>
          <a:xfrm>
            <a:off x="3416594" y="6577935"/>
            <a:ext cx="6380094" cy="829601"/>
          </a:xfrm>
          <a:prstGeom prst="straightConnector1">
            <a:avLst/>
          </a:prstGeom>
          <a:ln>
            <a:tailEnd type="triangle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</xdr:cxnSp>
    </xdr:grp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255270</xdr:colOff>
      <xdr:row>23</xdr:row>
      <xdr:rowOff>49530</xdr:rowOff>
    </xdr:from>
    <xdr:to>
      <xdr:col>34</xdr:col>
      <xdr:colOff>201930</xdr:colOff>
      <xdr:row>31</xdr:row>
      <xdr:rowOff>148828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193A71F-1144-4317-9B8C-D65DB543BE27}"/>
            </a:ext>
          </a:extLst>
        </xdr:cNvPr>
        <xdr:cNvSpPr txBox="1"/>
      </xdr:nvSpPr>
      <xdr:spPr>
        <a:xfrm>
          <a:off x="3910489" y="5127546"/>
          <a:ext cx="6590347" cy="18614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[</a:t>
          </a:r>
          <a:r>
            <a:rPr lang="ko-KR" altLang="en-US" sz="1100"/>
            <a:t>해결 전략</a:t>
          </a:r>
          <a:r>
            <a:rPr lang="en-US" altLang="ko-KR" sz="1100"/>
            <a:t>]</a:t>
          </a:r>
        </a:p>
        <a:p>
          <a:r>
            <a:rPr lang="ko-KR" altLang="en-US" sz="1100"/>
            <a:t>전체 셀중에서 땅인 셀을 시작점으로 </a:t>
          </a:r>
          <a:r>
            <a:rPr lang="en-US" altLang="ko-KR" sz="1100"/>
            <a:t>BFS</a:t>
          </a:r>
          <a:r>
            <a:rPr lang="ko-KR" altLang="en-US" sz="1100"/>
            <a:t>를 진행해 볼수 있다</a:t>
          </a:r>
          <a:r>
            <a:rPr lang="en-US" altLang="ko-KR" sz="1100"/>
            <a:t>.</a:t>
          </a:r>
        </a:p>
        <a:p>
          <a:r>
            <a:rPr lang="ko-KR" altLang="en-US" sz="1100"/>
            <a:t>이웃한 셀간 거리가 </a:t>
          </a:r>
          <a:r>
            <a:rPr lang="en-US" altLang="ko-KR" sz="1100"/>
            <a:t>1</a:t>
          </a:r>
          <a:r>
            <a:rPr lang="ko-KR" altLang="en-US" sz="1100"/>
            <a:t>로서 일정하므로 </a:t>
          </a:r>
          <a:r>
            <a:rPr lang="en-US" altLang="ko-KR" sz="1100"/>
            <a:t>BFS</a:t>
          </a:r>
          <a:r>
            <a:rPr lang="ko-KR" altLang="en-US" sz="1100"/>
            <a:t>를 이용하여 최단거리를 구할 수 있기 때문이다</a:t>
          </a:r>
          <a:r>
            <a:rPr lang="en-US" altLang="ko-KR" sz="1100"/>
            <a:t>.</a:t>
          </a:r>
        </a:p>
        <a:p>
          <a:r>
            <a:rPr lang="en-US" altLang="ko-KR" sz="1100" b="1"/>
            <a:t>!!! </a:t>
          </a:r>
          <a:r>
            <a:rPr lang="ko-KR" altLang="en-US" sz="1100" b="1"/>
            <a:t>주의할 점 </a:t>
          </a:r>
          <a:r>
            <a:rPr lang="en-US" altLang="ko-KR" sz="1100" b="1"/>
            <a:t>: </a:t>
          </a:r>
          <a:r>
            <a:rPr lang="ko-KR" altLang="en-US" sz="1100" b="1"/>
            <a:t>땅과 땅 사이에 있는</a:t>
          </a:r>
          <a:r>
            <a:rPr lang="ko-KR" altLang="en-US" sz="1100" b="1" baseline="0"/>
            <a:t> 땅을 제외하는 경우 반례가 생긴다</a:t>
          </a:r>
          <a:r>
            <a:rPr lang="en-US" altLang="ko-KR" sz="1100" b="1" baseline="0"/>
            <a:t>. </a:t>
          </a:r>
          <a:r>
            <a:rPr lang="ko-KR" altLang="en-US" sz="1100" b="1" baseline="0"/>
            <a:t>왼쪽 그림 참조</a:t>
          </a:r>
          <a:endParaRPr lang="en-US" altLang="ko-KR" sz="1100" b="1" baseline="0"/>
        </a:p>
        <a:p>
          <a:endParaRPr lang="en-US" altLang="ko-KR" sz="1100" b="1" baseline="0"/>
        </a:p>
        <a:p>
          <a:r>
            <a:rPr lang="ko-KR" altLang="en-US" sz="1100" b="1" baseline="0"/>
            <a:t>시간복잡도 </a:t>
          </a:r>
          <a:r>
            <a:rPr lang="en-US" altLang="ko-KR" sz="1100" b="1" baseline="0"/>
            <a:t>O(2500 * 2500 = 625000) </a:t>
          </a:r>
          <a:r>
            <a:rPr lang="ko-KR" altLang="en-US" sz="1100" b="1" baseline="0"/>
            <a:t>이다</a:t>
          </a:r>
          <a:r>
            <a:rPr lang="en-US" altLang="ko-KR" sz="1100" b="1" baseline="0"/>
            <a:t>.</a:t>
          </a:r>
          <a:endParaRPr lang="ko-KR" altLang="en-US" sz="1100" b="1"/>
        </a:p>
      </xdr:txBody>
    </xdr:sp>
    <xdr:clientData/>
  </xdr:twoCellAnchor>
  <xdr:twoCellAnchor>
    <xdr:from>
      <xdr:col>12</xdr:col>
      <xdr:colOff>19050</xdr:colOff>
      <xdr:row>33</xdr:row>
      <xdr:rowOff>0</xdr:rowOff>
    </xdr:from>
    <xdr:to>
      <xdr:col>23</xdr:col>
      <xdr:colOff>57150</xdr:colOff>
      <xdr:row>37</xdr:row>
      <xdr:rowOff>161925</xdr:rowOff>
    </xdr:to>
    <xdr:sp macro="" textlink="">
      <xdr:nvSpPr>
        <xdr:cNvPr id="3" name="설명선: 왼쪽 화살표 2">
          <a:extLst>
            <a:ext uri="{FF2B5EF4-FFF2-40B4-BE49-F238E27FC236}">
              <a16:creationId xmlns:a16="http://schemas.microsoft.com/office/drawing/2014/main" id="{BF0D2C78-A7DE-4723-8D0B-AECB70621DBE}"/>
            </a:ext>
          </a:extLst>
        </xdr:cNvPr>
        <xdr:cNvSpPr/>
      </xdr:nvSpPr>
      <xdr:spPr>
        <a:xfrm>
          <a:off x="3630930" y="7299960"/>
          <a:ext cx="3139440" cy="1045845"/>
        </a:xfrm>
        <a:prstGeom prst="leftArrowCallout">
          <a:avLst>
            <a:gd name="adj1" fmla="val 25000"/>
            <a:gd name="adj2" fmla="val 25000"/>
            <a:gd name="adj3" fmla="val 25000"/>
            <a:gd name="adj4" fmla="val 7660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/>
            <a:t>(2, 1) </a:t>
          </a:r>
          <a:r>
            <a:rPr lang="ko-KR" altLang="en-US" sz="1100"/>
            <a:t>또는 </a:t>
          </a:r>
          <a:r>
            <a:rPr lang="en-US" altLang="ko-KR" sz="1100"/>
            <a:t>(4,</a:t>
          </a:r>
          <a:r>
            <a:rPr lang="en-US" altLang="ko-KR" sz="1100" baseline="0"/>
            <a:t> 1)</a:t>
          </a:r>
          <a:r>
            <a:rPr lang="ko-KR" altLang="en-US" sz="1100" baseline="0"/>
            <a:t>에서</a:t>
          </a:r>
          <a:br>
            <a:rPr lang="en-US" altLang="ko-KR" sz="1100" baseline="0"/>
          </a:br>
          <a:r>
            <a:rPr lang="ko-KR" altLang="en-US" sz="1100" baseline="0"/>
            <a:t> 출발하는 경우</a:t>
          </a:r>
          <a:endParaRPr lang="en-US" altLang="ko-KR" sz="1100" baseline="0"/>
        </a:p>
        <a:p>
          <a:pPr algn="l"/>
          <a:r>
            <a:rPr lang="ko-KR" altLang="en-US" sz="1100" baseline="0"/>
            <a:t>최장거리는 </a:t>
          </a:r>
          <a:r>
            <a:rPr lang="en-US" altLang="ko-KR" sz="1100" baseline="0"/>
            <a:t>9</a:t>
          </a:r>
          <a:r>
            <a:rPr lang="ko-KR" altLang="en-US" sz="1100" baseline="0"/>
            <a:t>이다</a:t>
          </a:r>
          <a:r>
            <a:rPr lang="en-US" altLang="ko-KR" sz="1100" baseline="0"/>
            <a:t>.</a:t>
          </a:r>
          <a:endParaRPr lang="ko-KR" altLang="en-US" sz="1100"/>
        </a:p>
      </xdr:txBody>
    </xdr:sp>
    <xdr:clientData/>
  </xdr:twoCellAnchor>
  <xdr:twoCellAnchor>
    <xdr:from>
      <xdr:col>12</xdr:col>
      <xdr:colOff>19050</xdr:colOff>
      <xdr:row>41</xdr:row>
      <xdr:rowOff>19050</xdr:rowOff>
    </xdr:from>
    <xdr:to>
      <xdr:col>23</xdr:col>
      <xdr:colOff>57150</xdr:colOff>
      <xdr:row>45</xdr:row>
      <xdr:rowOff>180975</xdr:rowOff>
    </xdr:to>
    <xdr:sp macro="" textlink="">
      <xdr:nvSpPr>
        <xdr:cNvPr id="4" name="설명선: 왼쪽 화살표 3">
          <a:extLst>
            <a:ext uri="{FF2B5EF4-FFF2-40B4-BE49-F238E27FC236}">
              <a16:creationId xmlns:a16="http://schemas.microsoft.com/office/drawing/2014/main" id="{DF366B87-05C0-4AEE-8239-1D0115689636}"/>
            </a:ext>
          </a:extLst>
        </xdr:cNvPr>
        <xdr:cNvSpPr/>
      </xdr:nvSpPr>
      <xdr:spPr>
        <a:xfrm>
          <a:off x="3630930" y="9086850"/>
          <a:ext cx="3139440" cy="1045845"/>
        </a:xfrm>
        <a:prstGeom prst="leftArrowCallout">
          <a:avLst>
            <a:gd name="adj1" fmla="val 25000"/>
            <a:gd name="adj2" fmla="val 25000"/>
            <a:gd name="adj3" fmla="val 25000"/>
            <a:gd name="adj4" fmla="val 7660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/>
            <a:t>(3, 1)</a:t>
          </a:r>
          <a:r>
            <a:rPr lang="en-US" altLang="ko-KR" sz="1100" baseline="0"/>
            <a:t> </a:t>
          </a:r>
          <a:r>
            <a:rPr lang="ko-KR" altLang="en-US" sz="1100" baseline="0"/>
            <a:t>에서</a:t>
          </a:r>
          <a:br>
            <a:rPr lang="en-US" altLang="ko-KR" sz="1100" baseline="0"/>
          </a:br>
          <a:r>
            <a:rPr lang="ko-KR" altLang="en-US" sz="1100" baseline="0"/>
            <a:t> 출발하는 경우</a:t>
          </a:r>
          <a:endParaRPr lang="en-US" altLang="ko-KR" sz="1100" baseline="0"/>
        </a:p>
        <a:p>
          <a:pPr algn="l"/>
          <a:r>
            <a:rPr lang="ko-KR" altLang="en-US" sz="1100" baseline="0"/>
            <a:t>최장거리는 </a:t>
          </a:r>
          <a:r>
            <a:rPr lang="en-US" altLang="ko-KR" sz="1100" baseline="0"/>
            <a:t>10</a:t>
          </a:r>
          <a:r>
            <a:rPr lang="ko-KR" altLang="en-US" sz="1100" baseline="0"/>
            <a:t>이다</a:t>
          </a:r>
          <a:r>
            <a:rPr lang="en-US" altLang="ko-KR" sz="1100" baseline="0"/>
            <a:t>.</a:t>
          </a:r>
          <a:endParaRPr lang="ko-KR" altLang="en-US" sz="1100"/>
        </a:p>
      </xdr:txBody>
    </xdr:sp>
    <xdr:clientData/>
  </xdr:twoCellAnchor>
  <xdr:twoCellAnchor>
    <xdr:from>
      <xdr:col>12</xdr:col>
      <xdr:colOff>148828</xdr:colOff>
      <xdr:row>4</xdr:row>
      <xdr:rowOff>190738</xdr:rowOff>
    </xdr:from>
    <xdr:to>
      <xdr:col>13</xdr:col>
      <xdr:colOff>97155</xdr:colOff>
      <xdr:row>6</xdr:row>
      <xdr:rowOff>79058</xdr:rowOff>
    </xdr:to>
    <xdr:sp macro="" textlink="">
      <xdr:nvSpPr>
        <xdr:cNvPr id="5" name="화살표: 오른쪽 4">
          <a:extLst>
            <a:ext uri="{FF2B5EF4-FFF2-40B4-BE49-F238E27FC236}">
              <a16:creationId xmlns:a16="http://schemas.microsoft.com/office/drawing/2014/main" id="{C5F77B98-6FE2-0C43-3045-981668531C2E}"/>
            </a:ext>
          </a:extLst>
        </xdr:cNvPr>
        <xdr:cNvSpPr/>
      </xdr:nvSpPr>
      <xdr:spPr>
        <a:xfrm>
          <a:off x="3804047" y="1083707"/>
          <a:ext cx="234077" cy="32885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153351</xdr:colOff>
      <xdr:row>5</xdr:row>
      <xdr:rowOff>113586</xdr:rowOff>
    </xdr:from>
    <xdr:to>
      <xdr:col>23</xdr:col>
      <xdr:colOff>20239</xdr:colOff>
      <xdr:row>7</xdr:row>
      <xdr:rowOff>97155</xdr:rowOff>
    </xdr:to>
    <xdr:sp macro="" textlink="">
      <xdr:nvSpPr>
        <xdr:cNvPr id="6" name="화살표: 오른쪽 5">
          <a:extLst>
            <a:ext uri="{FF2B5EF4-FFF2-40B4-BE49-F238E27FC236}">
              <a16:creationId xmlns:a16="http://schemas.microsoft.com/office/drawing/2014/main" id="{6BA761DF-25FF-C692-1026-AA970202D0C4}"/>
            </a:ext>
          </a:extLst>
        </xdr:cNvPr>
        <xdr:cNvSpPr/>
      </xdr:nvSpPr>
      <xdr:spPr>
        <a:xfrm>
          <a:off x="6380320" y="1226820"/>
          <a:ext cx="438388" cy="42410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t</a:t>
          </a:r>
          <a:endParaRPr lang="ko-KR" altLang="en-US" sz="1100"/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43962</xdr:colOff>
      <xdr:row>1</xdr:row>
      <xdr:rowOff>190500</xdr:rowOff>
    </xdr:from>
    <xdr:to>
      <xdr:col>16</xdr:col>
      <xdr:colOff>381000</xdr:colOff>
      <xdr:row>16</xdr:row>
      <xdr:rowOff>29308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0D5BBC-3F0E-44B8-ABCD-8FF247928577}"/>
            </a:ext>
          </a:extLst>
        </xdr:cNvPr>
        <xdr:cNvSpPr txBox="1"/>
      </xdr:nvSpPr>
      <xdr:spPr>
        <a:xfrm>
          <a:off x="684042" y="190500"/>
          <a:ext cx="6623538" cy="31535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[</a:t>
          </a:r>
          <a:r>
            <a:rPr lang="ko-KR" altLang="en-US" sz="1100"/>
            <a:t>문제 개요</a:t>
          </a:r>
          <a:r>
            <a:rPr lang="en-US" altLang="ko-KR" sz="1100"/>
            <a:t>]</a:t>
          </a:r>
        </a:p>
        <a:p>
          <a:r>
            <a:rPr lang="ko-KR" altLang="en-US" sz="1100"/>
            <a:t>두 코드의 같은 자리 비트를 비교할 때 비트차이가 </a:t>
          </a:r>
          <a:r>
            <a:rPr lang="en-US" altLang="ko-KR" sz="1100"/>
            <a:t>1</a:t>
          </a:r>
          <a:r>
            <a:rPr lang="ko-KR" altLang="en-US" sz="1100"/>
            <a:t>인 경우를 해밍경로로 정의한다</a:t>
          </a:r>
          <a:r>
            <a:rPr lang="en-US" altLang="ko-KR" sz="1100"/>
            <a:t>.</a:t>
          </a:r>
        </a:p>
        <a:p>
          <a:r>
            <a:rPr lang="ko-KR" altLang="en-US" sz="1100"/>
            <a:t>코드 </a:t>
          </a:r>
          <a:r>
            <a:rPr lang="en-US" altLang="ko-KR" sz="1100"/>
            <a:t>A</a:t>
          </a:r>
          <a:r>
            <a:rPr lang="ko-KR" altLang="en-US" sz="1100"/>
            <a:t>와 </a:t>
          </a:r>
          <a:r>
            <a:rPr lang="en-US" altLang="ko-KR" sz="1100"/>
            <a:t>B</a:t>
          </a:r>
          <a:r>
            <a:rPr lang="ko-KR" altLang="en-US" sz="1100"/>
            <a:t>가 주어질 때</a:t>
          </a:r>
          <a:r>
            <a:rPr lang="en-US" altLang="ko-KR" sz="1100"/>
            <a:t>, </a:t>
          </a:r>
          <a:r>
            <a:rPr lang="en-US" altLang="ko-KR" sz="1100" baseline="0"/>
            <a:t> A</a:t>
          </a:r>
          <a:r>
            <a:rPr lang="ko-KR" altLang="en-US" sz="1100" baseline="0"/>
            <a:t>로부터 </a:t>
          </a:r>
          <a:r>
            <a:rPr lang="en-US" altLang="ko-KR" sz="1100" baseline="0"/>
            <a:t>B</a:t>
          </a:r>
          <a:r>
            <a:rPr lang="ko-KR" altLang="en-US" sz="1100" baseline="0"/>
            <a:t>까지의</a:t>
          </a:r>
          <a:r>
            <a:rPr lang="ko-KR" altLang="en-US" sz="1100"/>
            <a:t> 최단 해밍경로를 찾고자 한다</a:t>
          </a:r>
          <a:r>
            <a:rPr lang="en-US" altLang="ko-KR" sz="1100"/>
            <a:t>.</a:t>
          </a:r>
        </a:p>
        <a:p>
          <a:r>
            <a:rPr lang="en-US" altLang="ko-KR" sz="1100"/>
            <a:t> </a:t>
          </a:r>
          <a:r>
            <a:rPr lang="ko-KR" altLang="en-US" sz="1100"/>
            <a:t>코드 수 </a:t>
          </a:r>
          <a:r>
            <a:rPr lang="en-US" altLang="ko-KR" sz="1100"/>
            <a:t>N</a:t>
          </a:r>
          <a:r>
            <a:rPr lang="ko-KR" altLang="en-US" sz="1100"/>
            <a:t>은 최대 </a:t>
          </a:r>
          <a:r>
            <a:rPr lang="en-US" altLang="ko-KR" sz="1100"/>
            <a:t>1000, </a:t>
          </a:r>
          <a:r>
            <a:rPr lang="ko-KR" altLang="en-US" sz="1100"/>
            <a:t>코드 길이 </a:t>
          </a:r>
          <a:r>
            <a:rPr lang="en-US" altLang="ko-KR" sz="1100"/>
            <a:t>K</a:t>
          </a:r>
          <a:r>
            <a:rPr lang="ko-KR" altLang="en-US" sz="1100"/>
            <a:t>는 최대 </a:t>
          </a:r>
          <a:r>
            <a:rPr lang="en-US" altLang="ko-KR" sz="1100"/>
            <a:t>30</a:t>
          </a:r>
          <a:r>
            <a:rPr lang="ko-KR" altLang="en-US" sz="1100"/>
            <a:t>이다</a:t>
          </a:r>
          <a:r>
            <a:rPr lang="en-US" altLang="ko-KR" sz="1100"/>
            <a:t>.</a:t>
          </a:r>
        </a:p>
        <a:p>
          <a:r>
            <a:rPr lang="ko-KR" altLang="en-US" sz="1100"/>
            <a:t>최단 경로가 존재하지 않는 경우 </a:t>
          </a:r>
          <a:r>
            <a:rPr lang="en-US" altLang="ko-KR" sz="1100"/>
            <a:t>-1</a:t>
          </a:r>
          <a:r>
            <a:rPr lang="ko-KR" altLang="en-US" sz="1100"/>
            <a:t>을 출력한다</a:t>
          </a:r>
          <a:r>
            <a:rPr lang="en-US" altLang="ko-KR" sz="1100"/>
            <a:t>.</a:t>
          </a:r>
        </a:p>
        <a:p>
          <a:endParaRPr lang="en-US" altLang="ko-KR" sz="1100"/>
        </a:p>
        <a:p>
          <a:r>
            <a:rPr lang="en-US" altLang="ko-KR" sz="1100"/>
            <a:t>[</a:t>
          </a:r>
          <a:r>
            <a:rPr lang="ko-KR" altLang="en-US" sz="1100"/>
            <a:t>해결전략</a:t>
          </a:r>
          <a:r>
            <a:rPr lang="en-US" altLang="ko-KR" sz="1100"/>
            <a:t>]</a:t>
          </a:r>
        </a:p>
        <a:p>
          <a:r>
            <a:rPr lang="ko-KR" altLang="en-US" sz="1100"/>
            <a:t>두 코드 사이 해밍 경로</a:t>
          </a:r>
          <a:r>
            <a:rPr lang="en-US" altLang="ko-KR" sz="1100"/>
            <a:t>(</a:t>
          </a:r>
          <a:r>
            <a:rPr lang="ko-KR" altLang="en-US" sz="1100"/>
            <a:t>해밍거리가 </a:t>
          </a:r>
          <a:r>
            <a:rPr lang="en-US" altLang="ko-KR" sz="1100"/>
            <a:t>1</a:t>
          </a:r>
          <a:r>
            <a:rPr lang="ko-KR" altLang="en-US" sz="1100"/>
            <a:t>인</a:t>
          </a:r>
          <a:r>
            <a:rPr lang="en-US" altLang="ko-KR" sz="1100"/>
            <a:t>)</a:t>
          </a:r>
          <a:r>
            <a:rPr lang="ko-KR" altLang="en-US" sz="1100"/>
            <a:t>가 존재한다면 인접하다고 할 수 있다</a:t>
          </a:r>
          <a:r>
            <a:rPr lang="en-US" altLang="ko-KR" sz="1100"/>
            <a:t>.</a:t>
          </a:r>
        </a:p>
        <a:p>
          <a:r>
            <a:rPr lang="ko-KR" altLang="en-US" sz="1100"/>
            <a:t>방법 </a:t>
          </a:r>
          <a:r>
            <a:rPr lang="en-US" altLang="ko-KR" sz="1100"/>
            <a:t>1. </a:t>
          </a:r>
          <a:r>
            <a:rPr lang="ko-KR" altLang="en-US" sz="1100"/>
            <a:t>인접한 노드를 구하여 그래프를 구성하고 </a:t>
          </a:r>
          <a:r>
            <a:rPr lang="en-US" altLang="ko-KR" sz="1100"/>
            <a:t>BFS</a:t>
          </a:r>
          <a:r>
            <a:rPr lang="ko-KR" altLang="en-US" sz="1100"/>
            <a:t>를 진행하는 방법을 사용할 수 있다</a:t>
          </a:r>
          <a:r>
            <a:rPr lang="en-US" altLang="ko-KR" sz="1100"/>
            <a:t>.</a:t>
          </a:r>
        </a:p>
        <a:p>
          <a:r>
            <a:rPr lang="ko-KR" altLang="en-US" sz="1100"/>
            <a:t>방법 </a:t>
          </a:r>
          <a:r>
            <a:rPr lang="en-US" altLang="ko-KR" sz="1100"/>
            <a:t>2. BFS</a:t>
          </a:r>
          <a:r>
            <a:rPr lang="ko-KR" altLang="en-US" sz="1100"/>
            <a:t>를 진행하면서 모든 노드를 탐색하여 인접한지 확인하는 전략을 사용할 수 있다</a:t>
          </a:r>
          <a:r>
            <a:rPr lang="en-US" altLang="ko-KR" sz="1100"/>
            <a:t>.</a:t>
          </a:r>
        </a:p>
        <a:p>
          <a:endParaRPr lang="en-US" altLang="ko-KR" sz="1100"/>
        </a:p>
        <a:p>
          <a:r>
            <a:rPr lang="ko-KR" altLang="en-US" sz="1100"/>
            <a:t>어느 경우이든 시간복잡도 </a:t>
          </a:r>
          <a:r>
            <a:rPr lang="en-US" altLang="ko-KR" sz="1100"/>
            <a:t>O(K*N</a:t>
          </a:r>
          <a:r>
            <a:rPr lang="en-US" altLang="ko-KR" sz="1100" baseline="30000"/>
            <a:t>2</a:t>
          </a:r>
          <a:r>
            <a:rPr lang="en-US" altLang="ko-KR" sz="1100"/>
            <a:t>)</a:t>
          </a:r>
          <a:r>
            <a:rPr lang="ko-KR" altLang="en-US" sz="1100"/>
            <a:t>에 해결 가능하다</a:t>
          </a:r>
          <a:r>
            <a:rPr lang="en-US" altLang="ko-KR" sz="1100"/>
            <a:t>.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</xdr:col>
      <xdr:colOff>628650</xdr:colOff>
      <xdr:row>3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0CDBE9F-4C15-4BB9-9622-86123A85B1EF}"/>
            </a:ext>
          </a:extLst>
        </xdr:cNvPr>
        <xdr:cNvSpPr txBox="1"/>
      </xdr:nvSpPr>
      <xdr:spPr>
        <a:xfrm>
          <a:off x="666750" y="219075"/>
          <a:ext cx="2628900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슬라이드 참조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203753</xdr:colOff>
      <xdr:row>69</xdr:row>
      <xdr:rowOff>168966</xdr:rowOff>
    </xdr:from>
    <xdr:to>
      <xdr:col>10</xdr:col>
      <xdr:colOff>108503</xdr:colOff>
      <xdr:row>71</xdr:row>
      <xdr:rowOff>178491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93C51F22-223D-453D-9CC3-2F99AA05CB5E}"/>
            </a:ext>
          </a:extLst>
        </xdr:cNvPr>
        <xdr:cNvSpPr/>
      </xdr:nvSpPr>
      <xdr:spPr>
        <a:xfrm>
          <a:off x="2741213" y="15424206"/>
          <a:ext cx="438150" cy="45148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2</a:t>
          </a:r>
          <a:endParaRPr lang="ko-KR" altLang="en-US" sz="1100"/>
        </a:p>
      </xdr:txBody>
    </xdr:sp>
    <xdr:clientData/>
  </xdr:twoCellAnchor>
  <xdr:twoCellAnchor>
    <xdr:from>
      <xdr:col>14</xdr:col>
      <xdr:colOff>53340</xdr:colOff>
      <xdr:row>35</xdr:row>
      <xdr:rowOff>53340</xdr:rowOff>
    </xdr:from>
    <xdr:to>
      <xdr:col>23</xdr:col>
      <xdr:colOff>84455</xdr:colOff>
      <xdr:row>43</xdr:row>
      <xdr:rowOff>38100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16D81BB6-417A-4047-9ABE-AD242E2E0919}"/>
            </a:ext>
          </a:extLst>
        </xdr:cNvPr>
        <xdr:cNvGrpSpPr/>
      </xdr:nvGrpSpPr>
      <xdr:grpSpPr>
        <a:xfrm>
          <a:off x="4221149" y="7719723"/>
          <a:ext cx="2416506" cy="1734047"/>
          <a:chOff x="3790950" y="1943100"/>
          <a:chExt cx="2428875" cy="1657350"/>
        </a:xfrm>
      </xdr:grpSpPr>
      <xdr:sp macro="" textlink="">
        <xdr:nvSpPr>
          <xdr:cNvPr id="4" name="타원 3">
            <a:extLst>
              <a:ext uri="{FF2B5EF4-FFF2-40B4-BE49-F238E27FC236}">
                <a16:creationId xmlns:a16="http://schemas.microsoft.com/office/drawing/2014/main" id="{DD52EDDD-A37A-ADDB-1A1D-A216117B378B}"/>
              </a:ext>
            </a:extLst>
          </xdr:cNvPr>
          <xdr:cNvSpPr/>
        </xdr:nvSpPr>
        <xdr:spPr>
          <a:xfrm>
            <a:off x="4429125" y="1943100"/>
            <a:ext cx="438150" cy="438150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1</a:t>
            </a:r>
            <a:endParaRPr lang="ko-KR" altLang="en-US" sz="1100"/>
          </a:p>
        </xdr:txBody>
      </xdr:sp>
      <xdr:sp macro="" textlink="">
        <xdr:nvSpPr>
          <xdr:cNvPr id="5" name="타원 4">
            <a:extLst>
              <a:ext uri="{FF2B5EF4-FFF2-40B4-BE49-F238E27FC236}">
                <a16:creationId xmlns:a16="http://schemas.microsoft.com/office/drawing/2014/main" id="{510D2D75-6794-E1FC-ED58-B6B785DBC0BA}"/>
              </a:ext>
            </a:extLst>
          </xdr:cNvPr>
          <xdr:cNvSpPr/>
        </xdr:nvSpPr>
        <xdr:spPr>
          <a:xfrm>
            <a:off x="4429125" y="2533650"/>
            <a:ext cx="438150" cy="438150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2</a:t>
            </a:r>
            <a:endParaRPr lang="ko-KR" altLang="en-US" sz="1100"/>
          </a:p>
        </xdr:txBody>
      </xdr:sp>
      <xdr:sp macro="" textlink="">
        <xdr:nvSpPr>
          <xdr:cNvPr id="6" name="타원 5">
            <a:extLst>
              <a:ext uri="{FF2B5EF4-FFF2-40B4-BE49-F238E27FC236}">
                <a16:creationId xmlns:a16="http://schemas.microsoft.com/office/drawing/2014/main" id="{CD47CD9D-E3E2-A6DD-9926-3D4A11248428}"/>
              </a:ext>
            </a:extLst>
          </xdr:cNvPr>
          <xdr:cNvSpPr/>
        </xdr:nvSpPr>
        <xdr:spPr>
          <a:xfrm>
            <a:off x="5067300" y="2533650"/>
            <a:ext cx="438150" cy="438150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3</a:t>
            </a:r>
            <a:endParaRPr lang="ko-KR" altLang="en-US" sz="1100"/>
          </a:p>
        </xdr:txBody>
      </xdr:sp>
      <xdr:sp macro="" textlink="">
        <xdr:nvSpPr>
          <xdr:cNvPr id="7" name="타원 6">
            <a:extLst>
              <a:ext uri="{FF2B5EF4-FFF2-40B4-BE49-F238E27FC236}">
                <a16:creationId xmlns:a16="http://schemas.microsoft.com/office/drawing/2014/main" id="{33A7060F-5BB3-F987-E658-45FF7F1DE684}"/>
              </a:ext>
            </a:extLst>
          </xdr:cNvPr>
          <xdr:cNvSpPr/>
        </xdr:nvSpPr>
        <xdr:spPr>
          <a:xfrm>
            <a:off x="5781675" y="2533650"/>
            <a:ext cx="438150" cy="438150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4</a:t>
            </a:r>
            <a:endParaRPr lang="ko-KR" altLang="en-US" sz="1100"/>
          </a:p>
        </xdr:txBody>
      </xdr:sp>
      <xdr:sp macro="" textlink="">
        <xdr:nvSpPr>
          <xdr:cNvPr id="8" name="타원 7">
            <a:extLst>
              <a:ext uri="{FF2B5EF4-FFF2-40B4-BE49-F238E27FC236}">
                <a16:creationId xmlns:a16="http://schemas.microsoft.com/office/drawing/2014/main" id="{B9DAC32B-DAEF-2C43-512D-752382F8B0E2}"/>
              </a:ext>
            </a:extLst>
          </xdr:cNvPr>
          <xdr:cNvSpPr/>
        </xdr:nvSpPr>
        <xdr:spPr>
          <a:xfrm>
            <a:off x="3790950" y="2533650"/>
            <a:ext cx="438150" cy="438150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5</a:t>
            </a:r>
            <a:endParaRPr lang="ko-KR" altLang="en-US" sz="1100"/>
          </a:p>
        </xdr:txBody>
      </xdr:sp>
      <xdr:sp macro="" textlink="">
        <xdr:nvSpPr>
          <xdr:cNvPr id="9" name="타원 8">
            <a:extLst>
              <a:ext uri="{FF2B5EF4-FFF2-40B4-BE49-F238E27FC236}">
                <a16:creationId xmlns:a16="http://schemas.microsoft.com/office/drawing/2014/main" id="{13877EF3-A0C0-7B2A-4EC8-1D440B622019}"/>
              </a:ext>
            </a:extLst>
          </xdr:cNvPr>
          <xdr:cNvSpPr/>
        </xdr:nvSpPr>
        <xdr:spPr>
          <a:xfrm>
            <a:off x="4429125" y="3162300"/>
            <a:ext cx="438150" cy="438150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6</a:t>
            </a:r>
            <a:endParaRPr lang="ko-KR" altLang="en-US" sz="1100"/>
          </a:p>
        </xdr:txBody>
      </xdr:sp>
      <xdr:cxnSp macro="">
        <xdr:nvCxnSpPr>
          <xdr:cNvPr id="10" name="직선 연결선 9">
            <a:extLst>
              <a:ext uri="{FF2B5EF4-FFF2-40B4-BE49-F238E27FC236}">
                <a16:creationId xmlns:a16="http://schemas.microsoft.com/office/drawing/2014/main" id="{4814A694-C8A4-4662-536C-81E1E3B89836}"/>
              </a:ext>
            </a:extLst>
          </xdr:cNvPr>
          <xdr:cNvCxnSpPr>
            <a:stCxn id="4" idx="4"/>
            <a:endCxn id="5" idx="0"/>
          </xdr:cNvCxnSpPr>
        </xdr:nvCxnSpPr>
        <xdr:spPr>
          <a:xfrm>
            <a:off x="4648200" y="2381250"/>
            <a:ext cx="0" cy="15240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직선 연결선 10">
            <a:extLst>
              <a:ext uri="{FF2B5EF4-FFF2-40B4-BE49-F238E27FC236}">
                <a16:creationId xmlns:a16="http://schemas.microsoft.com/office/drawing/2014/main" id="{01873C37-9B9B-8815-02AC-E6EE620DE083}"/>
              </a:ext>
            </a:extLst>
          </xdr:cNvPr>
          <xdr:cNvCxnSpPr>
            <a:stCxn id="5" idx="2"/>
            <a:endCxn id="8" idx="6"/>
          </xdr:cNvCxnSpPr>
        </xdr:nvCxnSpPr>
        <xdr:spPr>
          <a:xfrm flipH="1">
            <a:off x="4229100" y="2752725"/>
            <a:ext cx="200025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직선 연결선 11">
            <a:extLst>
              <a:ext uri="{FF2B5EF4-FFF2-40B4-BE49-F238E27FC236}">
                <a16:creationId xmlns:a16="http://schemas.microsoft.com/office/drawing/2014/main" id="{C9E01E48-036B-A084-35B0-177561AAB751}"/>
              </a:ext>
            </a:extLst>
          </xdr:cNvPr>
          <xdr:cNvCxnSpPr>
            <a:stCxn id="5" idx="6"/>
            <a:endCxn id="6" idx="2"/>
          </xdr:cNvCxnSpPr>
        </xdr:nvCxnSpPr>
        <xdr:spPr>
          <a:xfrm>
            <a:off x="4867275" y="2752725"/>
            <a:ext cx="200025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직선 연결선 12">
            <a:extLst>
              <a:ext uri="{FF2B5EF4-FFF2-40B4-BE49-F238E27FC236}">
                <a16:creationId xmlns:a16="http://schemas.microsoft.com/office/drawing/2014/main" id="{B5181D10-DBDF-7873-CE28-A588797C8AB6}"/>
              </a:ext>
            </a:extLst>
          </xdr:cNvPr>
          <xdr:cNvCxnSpPr>
            <a:stCxn id="6" idx="6"/>
            <a:endCxn id="7" idx="2"/>
          </xdr:cNvCxnSpPr>
        </xdr:nvCxnSpPr>
        <xdr:spPr>
          <a:xfrm>
            <a:off x="5505450" y="2752725"/>
            <a:ext cx="276225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직선 연결선 13">
            <a:extLst>
              <a:ext uri="{FF2B5EF4-FFF2-40B4-BE49-F238E27FC236}">
                <a16:creationId xmlns:a16="http://schemas.microsoft.com/office/drawing/2014/main" id="{5B99C76D-1BEA-6537-D1BE-8527CFE84E28}"/>
              </a:ext>
            </a:extLst>
          </xdr:cNvPr>
          <xdr:cNvCxnSpPr>
            <a:stCxn id="5" idx="4"/>
            <a:endCxn id="9" idx="0"/>
          </xdr:cNvCxnSpPr>
        </xdr:nvCxnSpPr>
        <xdr:spPr>
          <a:xfrm>
            <a:off x="4648200" y="2971800"/>
            <a:ext cx="0" cy="19050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29</xdr:col>
      <xdr:colOff>57150</xdr:colOff>
      <xdr:row>35</xdr:row>
      <xdr:rowOff>57150</xdr:rowOff>
    </xdr:from>
    <xdr:to>
      <xdr:col>30</xdr:col>
      <xdr:colOff>228600</xdr:colOff>
      <xdr:row>37</xdr:row>
      <xdr:rowOff>76200</xdr:rowOff>
    </xdr:to>
    <xdr:sp macro="" textlink="">
      <xdr:nvSpPr>
        <xdr:cNvPr id="15" name="타원 14">
          <a:extLst>
            <a:ext uri="{FF2B5EF4-FFF2-40B4-BE49-F238E27FC236}">
              <a16:creationId xmlns:a16="http://schemas.microsoft.com/office/drawing/2014/main" id="{8BA7B32B-AC2F-4563-8356-1D41C229FE62}"/>
            </a:ext>
          </a:extLst>
        </xdr:cNvPr>
        <xdr:cNvSpPr/>
      </xdr:nvSpPr>
      <xdr:spPr>
        <a:xfrm>
          <a:off x="8248650" y="7799070"/>
          <a:ext cx="438150" cy="46101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29</xdr:col>
      <xdr:colOff>57150</xdr:colOff>
      <xdr:row>38</xdr:row>
      <xdr:rowOff>19050</xdr:rowOff>
    </xdr:from>
    <xdr:to>
      <xdr:col>30</xdr:col>
      <xdr:colOff>228600</xdr:colOff>
      <xdr:row>40</xdr:row>
      <xdr:rowOff>38100</xdr:rowOff>
    </xdr:to>
    <xdr:sp macro="" textlink="">
      <xdr:nvSpPr>
        <xdr:cNvPr id="16" name="타원 15">
          <a:extLst>
            <a:ext uri="{FF2B5EF4-FFF2-40B4-BE49-F238E27FC236}">
              <a16:creationId xmlns:a16="http://schemas.microsoft.com/office/drawing/2014/main" id="{2EAD529E-6941-4C9E-9635-58BD53ED569F}"/>
            </a:ext>
          </a:extLst>
        </xdr:cNvPr>
        <xdr:cNvSpPr/>
      </xdr:nvSpPr>
      <xdr:spPr>
        <a:xfrm>
          <a:off x="8248650" y="8423910"/>
          <a:ext cx="438150" cy="46101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2</a:t>
          </a:r>
          <a:endParaRPr lang="ko-KR" altLang="en-US" sz="1100"/>
        </a:p>
      </xdr:txBody>
    </xdr:sp>
    <xdr:clientData/>
  </xdr:twoCellAnchor>
  <xdr:twoCellAnchor>
    <xdr:from>
      <xdr:col>31</xdr:col>
      <xdr:colOff>161925</xdr:colOff>
      <xdr:row>38</xdr:row>
      <xdr:rowOff>19050</xdr:rowOff>
    </xdr:from>
    <xdr:to>
      <xdr:col>33</xdr:col>
      <xdr:colOff>66675</xdr:colOff>
      <xdr:row>40</xdr:row>
      <xdr:rowOff>38100</xdr:rowOff>
    </xdr:to>
    <xdr:sp macro="" textlink="">
      <xdr:nvSpPr>
        <xdr:cNvPr id="17" name="타원 16">
          <a:extLst>
            <a:ext uri="{FF2B5EF4-FFF2-40B4-BE49-F238E27FC236}">
              <a16:creationId xmlns:a16="http://schemas.microsoft.com/office/drawing/2014/main" id="{9017673B-9E50-4485-A506-2FA86B647C69}"/>
            </a:ext>
          </a:extLst>
        </xdr:cNvPr>
        <xdr:cNvSpPr/>
      </xdr:nvSpPr>
      <xdr:spPr>
        <a:xfrm>
          <a:off x="8886825" y="8423910"/>
          <a:ext cx="438150" cy="46101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altLang="ko-KR" sz="1100">
              <a:solidFill>
                <a:schemeClr val="lt1"/>
              </a:solidFill>
              <a:latin typeface="+mn-lt"/>
              <a:ea typeface="+mn-ea"/>
              <a:cs typeface="+mn-cs"/>
            </a:rPr>
            <a:t>3</a:t>
          </a:r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34</xdr:col>
      <xdr:colOff>76200</xdr:colOff>
      <xdr:row>38</xdr:row>
      <xdr:rowOff>19050</xdr:rowOff>
    </xdr:from>
    <xdr:to>
      <xdr:col>35</xdr:col>
      <xdr:colOff>247650</xdr:colOff>
      <xdr:row>40</xdr:row>
      <xdr:rowOff>38100</xdr:rowOff>
    </xdr:to>
    <xdr:sp macro="" textlink="">
      <xdr:nvSpPr>
        <xdr:cNvPr id="18" name="타원 17">
          <a:extLst>
            <a:ext uri="{FF2B5EF4-FFF2-40B4-BE49-F238E27FC236}">
              <a16:creationId xmlns:a16="http://schemas.microsoft.com/office/drawing/2014/main" id="{8529336F-8F5E-4227-8566-7E32D542DC5B}"/>
            </a:ext>
          </a:extLst>
        </xdr:cNvPr>
        <xdr:cNvSpPr/>
      </xdr:nvSpPr>
      <xdr:spPr>
        <a:xfrm>
          <a:off x="9601200" y="8423910"/>
          <a:ext cx="438150" cy="46101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4</a:t>
          </a:r>
          <a:endParaRPr lang="ko-KR" altLang="en-US" sz="1100"/>
        </a:p>
      </xdr:txBody>
    </xdr:sp>
    <xdr:clientData/>
  </xdr:twoCellAnchor>
  <xdr:twoCellAnchor>
    <xdr:from>
      <xdr:col>26</xdr:col>
      <xdr:colOff>219075</xdr:colOff>
      <xdr:row>38</xdr:row>
      <xdr:rowOff>19050</xdr:rowOff>
    </xdr:from>
    <xdr:to>
      <xdr:col>28</xdr:col>
      <xdr:colOff>123825</xdr:colOff>
      <xdr:row>40</xdr:row>
      <xdr:rowOff>38100</xdr:rowOff>
    </xdr:to>
    <xdr:sp macro="" textlink="">
      <xdr:nvSpPr>
        <xdr:cNvPr id="19" name="타원 18">
          <a:extLst>
            <a:ext uri="{FF2B5EF4-FFF2-40B4-BE49-F238E27FC236}">
              <a16:creationId xmlns:a16="http://schemas.microsoft.com/office/drawing/2014/main" id="{32520566-3132-45AA-BDA9-FAE39E536A7A}"/>
            </a:ext>
          </a:extLst>
        </xdr:cNvPr>
        <xdr:cNvSpPr/>
      </xdr:nvSpPr>
      <xdr:spPr>
        <a:xfrm>
          <a:off x="7610475" y="8423910"/>
          <a:ext cx="438150" cy="46101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altLang="ko-KR" sz="1100">
              <a:solidFill>
                <a:schemeClr val="lt1"/>
              </a:solidFill>
              <a:latin typeface="+mn-lt"/>
              <a:ea typeface="+mn-ea"/>
              <a:cs typeface="+mn-cs"/>
            </a:rPr>
            <a:t>5</a:t>
          </a:r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29</xdr:col>
      <xdr:colOff>57150</xdr:colOff>
      <xdr:row>41</xdr:row>
      <xdr:rowOff>19050</xdr:rowOff>
    </xdr:from>
    <xdr:to>
      <xdr:col>30</xdr:col>
      <xdr:colOff>228600</xdr:colOff>
      <xdr:row>43</xdr:row>
      <xdr:rowOff>38100</xdr:rowOff>
    </xdr:to>
    <xdr:sp macro="" textlink="">
      <xdr:nvSpPr>
        <xdr:cNvPr id="20" name="타원 19">
          <a:extLst>
            <a:ext uri="{FF2B5EF4-FFF2-40B4-BE49-F238E27FC236}">
              <a16:creationId xmlns:a16="http://schemas.microsoft.com/office/drawing/2014/main" id="{3FAFCCF7-0CAC-4EB0-9818-9976D1C4040D}"/>
            </a:ext>
          </a:extLst>
        </xdr:cNvPr>
        <xdr:cNvSpPr/>
      </xdr:nvSpPr>
      <xdr:spPr>
        <a:xfrm>
          <a:off x="8248650" y="9086850"/>
          <a:ext cx="438150" cy="46101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altLang="ko-KR" sz="1100">
              <a:solidFill>
                <a:schemeClr val="lt1"/>
              </a:solidFill>
              <a:latin typeface="+mn-lt"/>
              <a:ea typeface="+mn-ea"/>
              <a:cs typeface="+mn-cs"/>
            </a:rPr>
            <a:t>6</a:t>
          </a:r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30</xdr:col>
      <xdr:colOff>9525</xdr:colOff>
      <xdr:row>37</xdr:row>
      <xdr:rowOff>76200</xdr:rowOff>
    </xdr:from>
    <xdr:to>
      <xdr:col>30</xdr:col>
      <xdr:colOff>9525</xdr:colOff>
      <xdr:row>38</xdr:row>
      <xdr:rowOff>19050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1F123FE2-B8E7-46E9-8751-11950A6E240C}"/>
            </a:ext>
          </a:extLst>
        </xdr:cNvPr>
        <xdr:cNvCxnSpPr>
          <a:stCxn id="15" idx="4"/>
          <a:endCxn id="16" idx="0"/>
        </xdr:cNvCxnSpPr>
      </xdr:nvCxnSpPr>
      <xdr:spPr>
        <a:xfrm>
          <a:off x="8467725" y="8260080"/>
          <a:ext cx="0" cy="1638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123825</xdr:colOff>
      <xdr:row>39</xdr:row>
      <xdr:rowOff>28575</xdr:rowOff>
    </xdr:from>
    <xdr:to>
      <xdr:col>29</xdr:col>
      <xdr:colOff>57150</xdr:colOff>
      <xdr:row>39</xdr:row>
      <xdr:rowOff>28575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9B647755-C844-4DD6-B472-EF541D929D73}"/>
            </a:ext>
          </a:extLst>
        </xdr:cNvPr>
        <xdr:cNvCxnSpPr>
          <a:stCxn id="16" idx="2"/>
          <a:endCxn id="19" idx="6"/>
        </xdr:cNvCxnSpPr>
      </xdr:nvCxnSpPr>
      <xdr:spPr>
        <a:xfrm flipH="1">
          <a:off x="8048625" y="8654415"/>
          <a:ext cx="200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228600</xdr:colOff>
      <xdr:row>39</xdr:row>
      <xdr:rowOff>28575</xdr:rowOff>
    </xdr:from>
    <xdr:to>
      <xdr:col>31</xdr:col>
      <xdr:colOff>161925</xdr:colOff>
      <xdr:row>39</xdr:row>
      <xdr:rowOff>28575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C1465798-BAE7-43D7-98BB-23D073529696}"/>
            </a:ext>
          </a:extLst>
        </xdr:cNvPr>
        <xdr:cNvCxnSpPr>
          <a:stCxn id="16" idx="6"/>
          <a:endCxn id="17" idx="2"/>
        </xdr:cNvCxnSpPr>
      </xdr:nvCxnSpPr>
      <xdr:spPr>
        <a:xfrm>
          <a:off x="8686800" y="8654415"/>
          <a:ext cx="200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66675</xdr:colOff>
      <xdr:row>39</xdr:row>
      <xdr:rowOff>28575</xdr:rowOff>
    </xdr:from>
    <xdr:to>
      <xdr:col>34</xdr:col>
      <xdr:colOff>76200</xdr:colOff>
      <xdr:row>39</xdr:row>
      <xdr:rowOff>28575</xdr:rowOff>
    </xdr:to>
    <xdr:cxnSp macro="">
      <xdr:nvCxnSpPr>
        <xdr:cNvPr id="24" name="직선 연결선 23">
          <a:extLst>
            <a:ext uri="{FF2B5EF4-FFF2-40B4-BE49-F238E27FC236}">
              <a16:creationId xmlns:a16="http://schemas.microsoft.com/office/drawing/2014/main" id="{F1B34AAD-0496-4948-BFA1-F5A6673DF629}"/>
            </a:ext>
          </a:extLst>
        </xdr:cNvPr>
        <xdr:cNvCxnSpPr>
          <a:stCxn id="17" idx="6"/>
          <a:endCxn id="18" idx="2"/>
        </xdr:cNvCxnSpPr>
      </xdr:nvCxnSpPr>
      <xdr:spPr>
        <a:xfrm>
          <a:off x="9324975" y="8654415"/>
          <a:ext cx="2762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9525</xdr:colOff>
      <xdr:row>40</xdr:row>
      <xdr:rowOff>38100</xdr:rowOff>
    </xdr:from>
    <xdr:to>
      <xdr:col>30</xdr:col>
      <xdr:colOff>9525</xdr:colOff>
      <xdr:row>41</xdr:row>
      <xdr:rowOff>19050</xdr:rowOff>
    </xdr:to>
    <xdr:cxnSp macro="">
      <xdr:nvCxnSpPr>
        <xdr:cNvPr id="25" name="직선 연결선 24">
          <a:extLst>
            <a:ext uri="{FF2B5EF4-FFF2-40B4-BE49-F238E27FC236}">
              <a16:creationId xmlns:a16="http://schemas.microsoft.com/office/drawing/2014/main" id="{C38DDF4D-FB47-4B7F-AF08-9FAF3776B7F0}"/>
            </a:ext>
          </a:extLst>
        </xdr:cNvPr>
        <xdr:cNvCxnSpPr>
          <a:stCxn id="16" idx="4"/>
          <a:endCxn id="20" idx="0"/>
        </xdr:cNvCxnSpPr>
      </xdr:nvCxnSpPr>
      <xdr:spPr>
        <a:xfrm>
          <a:off x="8467725" y="8884920"/>
          <a:ext cx="0" cy="2019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47625</xdr:colOff>
      <xdr:row>35</xdr:row>
      <xdr:rowOff>57150</xdr:rowOff>
    </xdr:from>
    <xdr:to>
      <xdr:col>43</xdr:col>
      <xdr:colOff>219075</xdr:colOff>
      <xdr:row>37</xdr:row>
      <xdr:rowOff>76200</xdr:rowOff>
    </xdr:to>
    <xdr:sp macro="" textlink="">
      <xdr:nvSpPr>
        <xdr:cNvPr id="26" name="타원 25">
          <a:extLst>
            <a:ext uri="{FF2B5EF4-FFF2-40B4-BE49-F238E27FC236}">
              <a16:creationId xmlns:a16="http://schemas.microsoft.com/office/drawing/2014/main" id="{65554EC0-DA8F-495B-9C7E-EB2248DC05B7}"/>
            </a:ext>
          </a:extLst>
        </xdr:cNvPr>
        <xdr:cNvSpPr/>
      </xdr:nvSpPr>
      <xdr:spPr>
        <a:xfrm>
          <a:off x="11706225" y="7799070"/>
          <a:ext cx="438150" cy="46101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altLang="ko-KR" sz="1100">
              <a:solidFill>
                <a:schemeClr val="lt1"/>
              </a:solidFill>
              <a:latin typeface="+mn-lt"/>
              <a:ea typeface="+mn-ea"/>
              <a:cs typeface="+mn-cs"/>
            </a:rPr>
            <a:t>1</a:t>
          </a:r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42</xdr:col>
      <xdr:colOff>47625</xdr:colOff>
      <xdr:row>38</xdr:row>
      <xdr:rowOff>19050</xdr:rowOff>
    </xdr:from>
    <xdr:to>
      <xdr:col>43</xdr:col>
      <xdr:colOff>219075</xdr:colOff>
      <xdr:row>40</xdr:row>
      <xdr:rowOff>38100</xdr:rowOff>
    </xdr:to>
    <xdr:sp macro="" textlink="">
      <xdr:nvSpPr>
        <xdr:cNvPr id="27" name="타원 26">
          <a:extLst>
            <a:ext uri="{FF2B5EF4-FFF2-40B4-BE49-F238E27FC236}">
              <a16:creationId xmlns:a16="http://schemas.microsoft.com/office/drawing/2014/main" id="{A674CD12-4A8E-4F95-A9D6-F3D1EADDC71A}"/>
            </a:ext>
          </a:extLst>
        </xdr:cNvPr>
        <xdr:cNvSpPr/>
      </xdr:nvSpPr>
      <xdr:spPr>
        <a:xfrm>
          <a:off x="11706225" y="8423910"/>
          <a:ext cx="438150" cy="46101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altLang="ko-KR" sz="1100">
              <a:solidFill>
                <a:schemeClr val="lt1"/>
              </a:solidFill>
              <a:latin typeface="+mn-lt"/>
              <a:ea typeface="+mn-ea"/>
              <a:cs typeface="+mn-cs"/>
            </a:rPr>
            <a:t>2</a:t>
          </a:r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44</xdr:col>
      <xdr:colOff>152400</xdr:colOff>
      <xdr:row>38</xdr:row>
      <xdr:rowOff>19050</xdr:rowOff>
    </xdr:from>
    <xdr:to>
      <xdr:col>46</xdr:col>
      <xdr:colOff>57150</xdr:colOff>
      <xdr:row>40</xdr:row>
      <xdr:rowOff>38100</xdr:rowOff>
    </xdr:to>
    <xdr:sp macro="" textlink="">
      <xdr:nvSpPr>
        <xdr:cNvPr id="28" name="타원 27">
          <a:extLst>
            <a:ext uri="{FF2B5EF4-FFF2-40B4-BE49-F238E27FC236}">
              <a16:creationId xmlns:a16="http://schemas.microsoft.com/office/drawing/2014/main" id="{86204357-045F-4114-9A8A-64A7DC73B380}"/>
            </a:ext>
          </a:extLst>
        </xdr:cNvPr>
        <xdr:cNvSpPr/>
      </xdr:nvSpPr>
      <xdr:spPr>
        <a:xfrm>
          <a:off x="12344400" y="8423910"/>
          <a:ext cx="438150" cy="46101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altLang="ko-KR" sz="1100">
              <a:solidFill>
                <a:schemeClr val="lt1"/>
              </a:solidFill>
              <a:latin typeface="+mn-lt"/>
              <a:ea typeface="+mn-ea"/>
              <a:cs typeface="+mn-cs"/>
            </a:rPr>
            <a:t>3</a:t>
          </a:r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47</xdr:col>
      <xdr:colOff>66675</xdr:colOff>
      <xdr:row>38</xdr:row>
      <xdr:rowOff>19050</xdr:rowOff>
    </xdr:from>
    <xdr:to>
      <xdr:col>48</xdr:col>
      <xdr:colOff>238125</xdr:colOff>
      <xdr:row>40</xdr:row>
      <xdr:rowOff>38100</xdr:rowOff>
    </xdr:to>
    <xdr:sp macro="" textlink="">
      <xdr:nvSpPr>
        <xdr:cNvPr id="29" name="타원 28">
          <a:extLst>
            <a:ext uri="{FF2B5EF4-FFF2-40B4-BE49-F238E27FC236}">
              <a16:creationId xmlns:a16="http://schemas.microsoft.com/office/drawing/2014/main" id="{50B2B652-15FE-4A8D-BEAC-3D1379259981}"/>
            </a:ext>
          </a:extLst>
        </xdr:cNvPr>
        <xdr:cNvSpPr/>
      </xdr:nvSpPr>
      <xdr:spPr>
        <a:xfrm>
          <a:off x="13058775" y="8423910"/>
          <a:ext cx="438150" cy="46101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4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39</xdr:col>
      <xdr:colOff>209550</xdr:colOff>
      <xdr:row>38</xdr:row>
      <xdr:rowOff>19050</xdr:rowOff>
    </xdr:from>
    <xdr:to>
      <xdr:col>41</xdr:col>
      <xdr:colOff>114300</xdr:colOff>
      <xdr:row>40</xdr:row>
      <xdr:rowOff>38100</xdr:rowOff>
    </xdr:to>
    <xdr:sp macro="" textlink="">
      <xdr:nvSpPr>
        <xdr:cNvPr id="30" name="타원 29">
          <a:extLst>
            <a:ext uri="{FF2B5EF4-FFF2-40B4-BE49-F238E27FC236}">
              <a16:creationId xmlns:a16="http://schemas.microsoft.com/office/drawing/2014/main" id="{10F411E3-71E3-4C7B-BDAE-AD99EF1EA62D}"/>
            </a:ext>
          </a:extLst>
        </xdr:cNvPr>
        <xdr:cNvSpPr/>
      </xdr:nvSpPr>
      <xdr:spPr>
        <a:xfrm>
          <a:off x="11068050" y="8423910"/>
          <a:ext cx="438150" cy="46101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altLang="ko-KR" sz="1100">
              <a:solidFill>
                <a:schemeClr val="lt1"/>
              </a:solidFill>
              <a:latin typeface="+mn-lt"/>
              <a:ea typeface="+mn-ea"/>
              <a:cs typeface="+mn-cs"/>
            </a:rPr>
            <a:t>5</a:t>
          </a:r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42</xdr:col>
      <xdr:colOff>47625</xdr:colOff>
      <xdr:row>41</xdr:row>
      <xdr:rowOff>19050</xdr:rowOff>
    </xdr:from>
    <xdr:to>
      <xdr:col>43</xdr:col>
      <xdr:colOff>219075</xdr:colOff>
      <xdr:row>43</xdr:row>
      <xdr:rowOff>38100</xdr:rowOff>
    </xdr:to>
    <xdr:sp macro="" textlink="">
      <xdr:nvSpPr>
        <xdr:cNvPr id="31" name="타원 30">
          <a:extLst>
            <a:ext uri="{FF2B5EF4-FFF2-40B4-BE49-F238E27FC236}">
              <a16:creationId xmlns:a16="http://schemas.microsoft.com/office/drawing/2014/main" id="{3146DC9D-CD9A-4CDA-BF86-2816CA3A6928}"/>
            </a:ext>
          </a:extLst>
        </xdr:cNvPr>
        <xdr:cNvSpPr/>
      </xdr:nvSpPr>
      <xdr:spPr>
        <a:xfrm>
          <a:off x="11706225" y="9086850"/>
          <a:ext cx="438150" cy="46101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altLang="ko-KR" sz="1100">
              <a:solidFill>
                <a:schemeClr val="lt1"/>
              </a:solidFill>
              <a:latin typeface="+mn-lt"/>
              <a:ea typeface="+mn-ea"/>
              <a:cs typeface="+mn-cs"/>
            </a:rPr>
            <a:t>6</a:t>
          </a:r>
          <a:endParaRPr lang="ko-KR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43</xdr:col>
      <xdr:colOff>0</xdr:colOff>
      <xdr:row>37</xdr:row>
      <xdr:rowOff>76200</xdr:rowOff>
    </xdr:from>
    <xdr:to>
      <xdr:col>43</xdr:col>
      <xdr:colOff>0</xdr:colOff>
      <xdr:row>38</xdr:row>
      <xdr:rowOff>19050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1778D660-FBD2-48E4-B54D-0DC9021C8630}"/>
            </a:ext>
          </a:extLst>
        </xdr:cNvPr>
        <xdr:cNvCxnSpPr>
          <a:stCxn id="26" idx="4"/>
          <a:endCxn id="27" idx="0"/>
        </xdr:cNvCxnSpPr>
      </xdr:nvCxnSpPr>
      <xdr:spPr>
        <a:xfrm>
          <a:off x="11925300" y="8260080"/>
          <a:ext cx="0" cy="1638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114300</xdr:colOff>
      <xdr:row>39</xdr:row>
      <xdr:rowOff>28575</xdr:rowOff>
    </xdr:from>
    <xdr:to>
      <xdr:col>42</xdr:col>
      <xdr:colOff>47625</xdr:colOff>
      <xdr:row>39</xdr:row>
      <xdr:rowOff>28575</xdr:rowOff>
    </xdr:to>
    <xdr:cxnSp macro="">
      <xdr:nvCxnSpPr>
        <xdr:cNvPr id="33" name="직선 연결선 32">
          <a:extLst>
            <a:ext uri="{FF2B5EF4-FFF2-40B4-BE49-F238E27FC236}">
              <a16:creationId xmlns:a16="http://schemas.microsoft.com/office/drawing/2014/main" id="{0E0D4FDB-208C-46CA-8CBF-EB5BB4894152}"/>
            </a:ext>
          </a:extLst>
        </xdr:cNvPr>
        <xdr:cNvCxnSpPr>
          <a:stCxn id="27" idx="2"/>
          <a:endCxn id="30" idx="6"/>
        </xdr:cNvCxnSpPr>
      </xdr:nvCxnSpPr>
      <xdr:spPr>
        <a:xfrm flipH="1">
          <a:off x="11506200" y="8654415"/>
          <a:ext cx="200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219075</xdr:colOff>
      <xdr:row>39</xdr:row>
      <xdr:rowOff>28575</xdr:rowOff>
    </xdr:from>
    <xdr:to>
      <xdr:col>44</xdr:col>
      <xdr:colOff>152400</xdr:colOff>
      <xdr:row>39</xdr:row>
      <xdr:rowOff>28575</xdr:rowOff>
    </xdr:to>
    <xdr:cxnSp macro="">
      <xdr:nvCxnSpPr>
        <xdr:cNvPr id="34" name="직선 연결선 33">
          <a:extLst>
            <a:ext uri="{FF2B5EF4-FFF2-40B4-BE49-F238E27FC236}">
              <a16:creationId xmlns:a16="http://schemas.microsoft.com/office/drawing/2014/main" id="{7711055D-F3AC-4DAF-8CC1-635F5F168EB0}"/>
            </a:ext>
          </a:extLst>
        </xdr:cNvPr>
        <xdr:cNvCxnSpPr>
          <a:stCxn id="27" idx="6"/>
          <a:endCxn id="28" idx="2"/>
        </xdr:cNvCxnSpPr>
      </xdr:nvCxnSpPr>
      <xdr:spPr>
        <a:xfrm>
          <a:off x="12144375" y="8654415"/>
          <a:ext cx="200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57150</xdr:colOff>
      <xdr:row>39</xdr:row>
      <xdr:rowOff>28575</xdr:rowOff>
    </xdr:from>
    <xdr:to>
      <xdr:col>47</xdr:col>
      <xdr:colOff>66675</xdr:colOff>
      <xdr:row>39</xdr:row>
      <xdr:rowOff>28575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id="{9C547A56-8D95-45F6-9F26-2D02B2DEE3CC}"/>
            </a:ext>
          </a:extLst>
        </xdr:cNvPr>
        <xdr:cNvCxnSpPr>
          <a:stCxn id="28" idx="6"/>
          <a:endCxn id="29" idx="2"/>
        </xdr:cNvCxnSpPr>
      </xdr:nvCxnSpPr>
      <xdr:spPr>
        <a:xfrm>
          <a:off x="12782550" y="8654415"/>
          <a:ext cx="2762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0</xdr:colOff>
      <xdr:row>40</xdr:row>
      <xdr:rowOff>38100</xdr:rowOff>
    </xdr:from>
    <xdr:to>
      <xdr:col>43</xdr:col>
      <xdr:colOff>0</xdr:colOff>
      <xdr:row>41</xdr:row>
      <xdr:rowOff>19050</xdr:rowOff>
    </xdr:to>
    <xdr:cxnSp macro="">
      <xdr:nvCxnSpPr>
        <xdr:cNvPr id="36" name="직선 연결선 35">
          <a:extLst>
            <a:ext uri="{FF2B5EF4-FFF2-40B4-BE49-F238E27FC236}">
              <a16:creationId xmlns:a16="http://schemas.microsoft.com/office/drawing/2014/main" id="{06D598F3-A7E7-4B4D-BB3E-3F8AECC44E48}"/>
            </a:ext>
          </a:extLst>
        </xdr:cNvPr>
        <xdr:cNvCxnSpPr>
          <a:stCxn id="27" idx="4"/>
          <a:endCxn id="31" idx="0"/>
        </xdr:cNvCxnSpPr>
      </xdr:nvCxnSpPr>
      <xdr:spPr>
        <a:xfrm>
          <a:off x="11925300" y="8884920"/>
          <a:ext cx="0" cy="2019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171450</xdr:colOff>
      <xdr:row>35</xdr:row>
      <xdr:rowOff>57150</xdr:rowOff>
    </xdr:from>
    <xdr:to>
      <xdr:col>56</xdr:col>
      <xdr:colOff>76200</xdr:colOff>
      <xdr:row>37</xdr:row>
      <xdr:rowOff>76200</xdr:rowOff>
    </xdr:to>
    <xdr:sp macro="" textlink="">
      <xdr:nvSpPr>
        <xdr:cNvPr id="37" name="타원 36">
          <a:extLst>
            <a:ext uri="{FF2B5EF4-FFF2-40B4-BE49-F238E27FC236}">
              <a16:creationId xmlns:a16="http://schemas.microsoft.com/office/drawing/2014/main" id="{9A526E25-D5D8-4B68-9A8A-7A3805405791}"/>
            </a:ext>
          </a:extLst>
        </xdr:cNvPr>
        <xdr:cNvSpPr/>
      </xdr:nvSpPr>
      <xdr:spPr>
        <a:xfrm>
          <a:off x="15030450" y="7799070"/>
          <a:ext cx="438150" cy="46101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54</xdr:col>
      <xdr:colOff>171450</xdr:colOff>
      <xdr:row>38</xdr:row>
      <xdr:rowOff>19050</xdr:rowOff>
    </xdr:from>
    <xdr:to>
      <xdr:col>56</xdr:col>
      <xdr:colOff>76200</xdr:colOff>
      <xdr:row>40</xdr:row>
      <xdr:rowOff>38100</xdr:rowOff>
    </xdr:to>
    <xdr:sp macro="" textlink="">
      <xdr:nvSpPr>
        <xdr:cNvPr id="38" name="타원 37">
          <a:extLst>
            <a:ext uri="{FF2B5EF4-FFF2-40B4-BE49-F238E27FC236}">
              <a16:creationId xmlns:a16="http://schemas.microsoft.com/office/drawing/2014/main" id="{57F5B0E7-3D8E-415E-A231-47BDA4951BB4}"/>
            </a:ext>
          </a:extLst>
        </xdr:cNvPr>
        <xdr:cNvSpPr/>
      </xdr:nvSpPr>
      <xdr:spPr>
        <a:xfrm>
          <a:off x="15030450" y="8423910"/>
          <a:ext cx="438150" cy="46101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57</xdr:col>
      <xdr:colOff>9525</xdr:colOff>
      <xdr:row>38</xdr:row>
      <xdr:rowOff>19050</xdr:rowOff>
    </xdr:from>
    <xdr:to>
      <xdr:col>58</xdr:col>
      <xdr:colOff>180975</xdr:colOff>
      <xdr:row>40</xdr:row>
      <xdr:rowOff>38100</xdr:rowOff>
    </xdr:to>
    <xdr:sp macro="" textlink="">
      <xdr:nvSpPr>
        <xdr:cNvPr id="39" name="타원 38">
          <a:extLst>
            <a:ext uri="{FF2B5EF4-FFF2-40B4-BE49-F238E27FC236}">
              <a16:creationId xmlns:a16="http://schemas.microsoft.com/office/drawing/2014/main" id="{C142FA25-A071-4785-8FD7-1973CF8B042D}"/>
            </a:ext>
          </a:extLst>
        </xdr:cNvPr>
        <xdr:cNvSpPr/>
      </xdr:nvSpPr>
      <xdr:spPr>
        <a:xfrm>
          <a:off x="15668625" y="8423910"/>
          <a:ext cx="438150" cy="46101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3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59</xdr:col>
      <xdr:colOff>190500</xdr:colOff>
      <xdr:row>38</xdr:row>
      <xdr:rowOff>19050</xdr:rowOff>
    </xdr:from>
    <xdr:to>
      <xdr:col>61</xdr:col>
      <xdr:colOff>95250</xdr:colOff>
      <xdr:row>40</xdr:row>
      <xdr:rowOff>38100</xdr:rowOff>
    </xdr:to>
    <xdr:sp macro="" textlink="">
      <xdr:nvSpPr>
        <xdr:cNvPr id="40" name="타원 39">
          <a:extLst>
            <a:ext uri="{FF2B5EF4-FFF2-40B4-BE49-F238E27FC236}">
              <a16:creationId xmlns:a16="http://schemas.microsoft.com/office/drawing/2014/main" id="{A39FF4D4-7FC8-4888-AB8C-85061FE41685}"/>
            </a:ext>
          </a:extLst>
        </xdr:cNvPr>
        <xdr:cNvSpPr/>
      </xdr:nvSpPr>
      <xdr:spPr>
        <a:xfrm>
          <a:off x="16383000" y="8423910"/>
          <a:ext cx="438150" cy="46101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4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52</xdr:col>
      <xdr:colOff>66675</xdr:colOff>
      <xdr:row>38</xdr:row>
      <xdr:rowOff>19050</xdr:rowOff>
    </xdr:from>
    <xdr:to>
      <xdr:col>53</xdr:col>
      <xdr:colOff>238125</xdr:colOff>
      <xdr:row>40</xdr:row>
      <xdr:rowOff>38100</xdr:rowOff>
    </xdr:to>
    <xdr:sp macro="" textlink="">
      <xdr:nvSpPr>
        <xdr:cNvPr id="41" name="타원 40">
          <a:extLst>
            <a:ext uri="{FF2B5EF4-FFF2-40B4-BE49-F238E27FC236}">
              <a16:creationId xmlns:a16="http://schemas.microsoft.com/office/drawing/2014/main" id="{C79F796E-1E52-4D9B-8270-BCC2654F13D3}"/>
            </a:ext>
          </a:extLst>
        </xdr:cNvPr>
        <xdr:cNvSpPr/>
      </xdr:nvSpPr>
      <xdr:spPr>
        <a:xfrm>
          <a:off x="14392275" y="8423910"/>
          <a:ext cx="438150" cy="46101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5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54</xdr:col>
      <xdr:colOff>171450</xdr:colOff>
      <xdr:row>41</xdr:row>
      <xdr:rowOff>19050</xdr:rowOff>
    </xdr:from>
    <xdr:to>
      <xdr:col>56</xdr:col>
      <xdr:colOff>76200</xdr:colOff>
      <xdr:row>43</xdr:row>
      <xdr:rowOff>38100</xdr:rowOff>
    </xdr:to>
    <xdr:sp macro="" textlink="">
      <xdr:nvSpPr>
        <xdr:cNvPr id="42" name="타원 41">
          <a:extLst>
            <a:ext uri="{FF2B5EF4-FFF2-40B4-BE49-F238E27FC236}">
              <a16:creationId xmlns:a16="http://schemas.microsoft.com/office/drawing/2014/main" id="{460CAA5F-296B-4554-AD58-F5D50B934027}"/>
            </a:ext>
          </a:extLst>
        </xdr:cNvPr>
        <xdr:cNvSpPr/>
      </xdr:nvSpPr>
      <xdr:spPr>
        <a:xfrm>
          <a:off x="15030450" y="9086850"/>
          <a:ext cx="438150" cy="46101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6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55</xdr:col>
      <xdr:colOff>123825</xdr:colOff>
      <xdr:row>37</xdr:row>
      <xdr:rowOff>76200</xdr:rowOff>
    </xdr:from>
    <xdr:to>
      <xdr:col>55</xdr:col>
      <xdr:colOff>123825</xdr:colOff>
      <xdr:row>38</xdr:row>
      <xdr:rowOff>19050</xdr:rowOff>
    </xdr:to>
    <xdr:cxnSp macro="">
      <xdr:nvCxnSpPr>
        <xdr:cNvPr id="43" name="직선 연결선 42">
          <a:extLst>
            <a:ext uri="{FF2B5EF4-FFF2-40B4-BE49-F238E27FC236}">
              <a16:creationId xmlns:a16="http://schemas.microsoft.com/office/drawing/2014/main" id="{F9615789-8C06-4C1B-8D9A-B947A03699EF}"/>
            </a:ext>
          </a:extLst>
        </xdr:cNvPr>
        <xdr:cNvCxnSpPr>
          <a:stCxn id="37" idx="4"/>
          <a:endCxn id="38" idx="0"/>
        </xdr:cNvCxnSpPr>
      </xdr:nvCxnSpPr>
      <xdr:spPr>
        <a:xfrm>
          <a:off x="15249525" y="8260080"/>
          <a:ext cx="0" cy="163830"/>
        </a:xfrm>
        <a:prstGeom prst="line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</xdr:cxnSp>
    <xdr:clientData/>
  </xdr:twoCellAnchor>
  <xdr:twoCellAnchor>
    <xdr:from>
      <xdr:col>53</xdr:col>
      <xdr:colOff>238125</xdr:colOff>
      <xdr:row>39</xdr:row>
      <xdr:rowOff>28575</xdr:rowOff>
    </xdr:from>
    <xdr:to>
      <xdr:col>54</xdr:col>
      <xdr:colOff>171450</xdr:colOff>
      <xdr:row>39</xdr:row>
      <xdr:rowOff>28575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1F479136-2320-4F91-B043-040697A4F1C9}"/>
            </a:ext>
          </a:extLst>
        </xdr:cNvPr>
        <xdr:cNvCxnSpPr>
          <a:stCxn id="38" idx="2"/>
          <a:endCxn id="41" idx="6"/>
        </xdr:cNvCxnSpPr>
      </xdr:nvCxnSpPr>
      <xdr:spPr>
        <a:xfrm flipH="1">
          <a:off x="14830425" y="8654415"/>
          <a:ext cx="200025" cy="0"/>
        </a:xfrm>
        <a:prstGeom prst="line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</xdr:cxnSp>
    <xdr:clientData/>
  </xdr:twoCellAnchor>
  <xdr:twoCellAnchor>
    <xdr:from>
      <xdr:col>56</xdr:col>
      <xdr:colOff>76200</xdr:colOff>
      <xdr:row>39</xdr:row>
      <xdr:rowOff>28575</xdr:rowOff>
    </xdr:from>
    <xdr:to>
      <xdr:col>57</xdr:col>
      <xdr:colOff>9525</xdr:colOff>
      <xdr:row>39</xdr:row>
      <xdr:rowOff>28575</xdr:rowOff>
    </xdr:to>
    <xdr:cxnSp macro="">
      <xdr:nvCxnSpPr>
        <xdr:cNvPr id="45" name="직선 연결선 44">
          <a:extLst>
            <a:ext uri="{FF2B5EF4-FFF2-40B4-BE49-F238E27FC236}">
              <a16:creationId xmlns:a16="http://schemas.microsoft.com/office/drawing/2014/main" id="{048507DB-3BE2-4BDC-8B1E-D1C4E18A1497}"/>
            </a:ext>
          </a:extLst>
        </xdr:cNvPr>
        <xdr:cNvCxnSpPr>
          <a:stCxn id="38" idx="6"/>
          <a:endCxn id="39" idx="2"/>
        </xdr:cNvCxnSpPr>
      </xdr:nvCxnSpPr>
      <xdr:spPr>
        <a:xfrm>
          <a:off x="15468600" y="8654415"/>
          <a:ext cx="200025" cy="0"/>
        </a:xfrm>
        <a:prstGeom prst="line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</xdr:cxnSp>
    <xdr:clientData/>
  </xdr:twoCellAnchor>
  <xdr:twoCellAnchor>
    <xdr:from>
      <xdr:col>58</xdr:col>
      <xdr:colOff>180975</xdr:colOff>
      <xdr:row>39</xdr:row>
      <xdr:rowOff>28575</xdr:rowOff>
    </xdr:from>
    <xdr:to>
      <xdr:col>59</xdr:col>
      <xdr:colOff>190500</xdr:colOff>
      <xdr:row>39</xdr:row>
      <xdr:rowOff>28575</xdr:rowOff>
    </xdr:to>
    <xdr:cxnSp macro="">
      <xdr:nvCxnSpPr>
        <xdr:cNvPr id="46" name="직선 연결선 45">
          <a:extLst>
            <a:ext uri="{FF2B5EF4-FFF2-40B4-BE49-F238E27FC236}">
              <a16:creationId xmlns:a16="http://schemas.microsoft.com/office/drawing/2014/main" id="{3A99EA53-C215-4D73-B006-4F954006B975}"/>
            </a:ext>
          </a:extLst>
        </xdr:cNvPr>
        <xdr:cNvCxnSpPr>
          <a:stCxn id="39" idx="6"/>
          <a:endCxn id="40" idx="2"/>
        </xdr:cNvCxnSpPr>
      </xdr:nvCxnSpPr>
      <xdr:spPr>
        <a:xfrm>
          <a:off x="16106775" y="8654415"/>
          <a:ext cx="2762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123825</xdr:colOff>
      <xdr:row>40</xdr:row>
      <xdr:rowOff>38100</xdr:rowOff>
    </xdr:from>
    <xdr:to>
      <xdr:col>55</xdr:col>
      <xdr:colOff>123825</xdr:colOff>
      <xdr:row>41</xdr:row>
      <xdr:rowOff>19050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A30958FC-FEA4-4AB3-9E15-20E7293333B7}"/>
            </a:ext>
          </a:extLst>
        </xdr:cNvPr>
        <xdr:cNvCxnSpPr>
          <a:stCxn id="38" idx="4"/>
          <a:endCxn id="42" idx="0"/>
        </xdr:cNvCxnSpPr>
      </xdr:nvCxnSpPr>
      <xdr:spPr>
        <a:xfrm>
          <a:off x="15249525" y="8884920"/>
          <a:ext cx="0" cy="201930"/>
        </a:xfrm>
        <a:prstGeom prst="line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</xdr:cxnSp>
    <xdr:clientData/>
  </xdr:twoCellAnchor>
  <xdr:twoCellAnchor>
    <xdr:from>
      <xdr:col>24</xdr:col>
      <xdr:colOff>38100</xdr:colOff>
      <xdr:row>38</xdr:row>
      <xdr:rowOff>28575</xdr:rowOff>
    </xdr:from>
    <xdr:to>
      <xdr:col>25</xdr:col>
      <xdr:colOff>180975</xdr:colOff>
      <xdr:row>40</xdr:row>
      <xdr:rowOff>19050</xdr:rowOff>
    </xdr:to>
    <xdr:sp macro="" textlink="">
      <xdr:nvSpPr>
        <xdr:cNvPr id="48" name="줄무늬가 있는 오른쪽 화살표 66">
          <a:extLst>
            <a:ext uri="{FF2B5EF4-FFF2-40B4-BE49-F238E27FC236}">
              <a16:creationId xmlns:a16="http://schemas.microsoft.com/office/drawing/2014/main" id="{10BAD5F1-3EF3-44BB-99CD-9388C3CA68AB}"/>
            </a:ext>
          </a:extLst>
        </xdr:cNvPr>
        <xdr:cNvSpPr/>
      </xdr:nvSpPr>
      <xdr:spPr>
        <a:xfrm>
          <a:off x="6896100" y="8433435"/>
          <a:ext cx="409575" cy="432435"/>
        </a:xfrm>
        <a:prstGeom prst="stripedRigh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25</xdr:col>
      <xdr:colOff>247651</xdr:colOff>
      <xdr:row>46</xdr:row>
      <xdr:rowOff>149599</xdr:rowOff>
    </xdr:from>
    <xdr:to>
      <xdr:col>34</xdr:col>
      <xdr:colOff>28575</xdr:colOff>
      <xdr:row>48</xdr:row>
      <xdr:rowOff>159123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D4EB3DE2-D4CF-429D-9D09-5D48AF1AE345}"/>
            </a:ext>
          </a:extLst>
        </xdr:cNvPr>
        <xdr:cNvSpPr txBox="1"/>
      </xdr:nvSpPr>
      <xdr:spPr>
        <a:xfrm>
          <a:off x="7372351" y="10322299"/>
          <a:ext cx="2181224" cy="4514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ko-KR" sz="1100"/>
            <a:t>2</a:t>
          </a:r>
          <a:r>
            <a:rPr lang="ko-KR" altLang="en-US" sz="1100"/>
            <a:t>번 그룹 색을 검은색으로 </a:t>
          </a:r>
          <a:r>
            <a:rPr lang="en-US" altLang="ko-KR" sz="1100"/>
            <a:t>: 1 </a:t>
          </a:r>
          <a:r>
            <a:rPr lang="ko-KR" altLang="en-US" sz="1100"/>
            <a:t>번</a:t>
          </a:r>
        </a:p>
      </xdr:txBody>
    </xdr:sp>
    <xdr:clientData/>
  </xdr:twoCellAnchor>
  <xdr:twoCellAnchor>
    <xdr:from>
      <xdr:col>36</xdr:col>
      <xdr:colOff>257175</xdr:colOff>
      <xdr:row>38</xdr:row>
      <xdr:rowOff>28575</xdr:rowOff>
    </xdr:from>
    <xdr:to>
      <xdr:col>38</xdr:col>
      <xdr:colOff>133350</xdr:colOff>
      <xdr:row>40</xdr:row>
      <xdr:rowOff>19050</xdr:rowOff>
    </xdr:to>
    <xdr:sp macro="" textlink="">
      <xdr:nvSpPr>
        <xdr:cNvPr id="50" name="줄무늬가 있는 오른쪽 화살표 73">
          <a:extLst>
            <a:ext uri="{FF2B5EF4-FFF2-40B4-BE49-F238E27FC236}">
              <a16:creationId xmlns:a16="http://schemas.microsoft.com/office/drawing/2014/main" id="{2EC2D1B1-2913-4A89-99E8-7C2A40031095}"/>
            </a:ext>
          </a:extLst>
        </xdr:cNvPr>
        <xdr:cNvSpPr/>
      </xdr:nvSpPr>
      <xdr:spPr>
        <a:xfrm>
          <a:off x="10315575" y="8433435"/>
          <a:ext cx="409575" cy="432435"/>
        </a:xfrm>
        <a:prstGeom prst="stripedRigh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50</xdr:col>
      <xdr:colOff>0</xdr:colOff>
      <xdr:row>38</xdr:row>
      <xdr:rowOff>28575</xdr:rowOff>
    </xdr:from>
    <xdr:to>
      <xdr:col>51</xdr:col>
      <xdr:colOff>142875</xdr:colOff>
      <xdr:row>40</xdr:row>
      <xdr:rowOff>19050</xdr:rowOff>
    </xdr:to>
    <xdr:sp macro="" textlink="">
      <xdr:nvSpPr>
        <xdr:cNvPr id="51" name="줄무늬가 있는 오른쪽 화살표 74">
          <a:extLst>
            <a:ext uri="{FF2B5EF4-FFF2-40B4-BE49-F238E27FC236}">
              <a16:creationId xmlns:a16="http://schemas.microsoft.com/office/drawing/2014/main" id="{80B9BDE3-A68A-40A9-AACE-E298BE65AB6C}"/>
            </a:ext>
          </a:extLst>
        </xdr:cNvPr>
        <xdr:cNvSpPr/>
      </xdr:nvSpPr>
      <xdr:spPr>
        <a:xfrm>
          <a:off x="13792200" y="8433435"/>
          <a:ext cx="409575" cy="432435"/>
        </a:xfrm>
        <a:prstGeom prst="stripedRigh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38</xdr:col>
      <xdr:colOff>161926</xdr:colOff>
      <xdr:row>32</xdr:row>
      <xdr:rowOff>104774</xdr:rowOff>
    </xdr:from>
    <xdr:to>
      <xdr:col>47</xdr:col>
      <xdr:colOff>19050</xdr:colOff>
      <xdr:row>34</xdr:row>
      <xdr:rowOff>114299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FCCEF98-3699-4914-B862-7A94621F1F08}"/>
            </a:ext>
          </a:extLst>
        </xdr:cNvPr>
        <xdr:cNvSpPr txBox="1"/>
      </xdr:nvSpPr>
      <xdr:spPr>
        <a:xfrm>
          <a:off x="10753726" y="7183754"/>
          <a:ext cx="2257424" cy="4514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ko-KR" sz="1100"/>
            <a:t>1</a:t>
          </a:r>
          <a:r>
            <a:rPr lang="ko-KR" altLang="en-US" sz="1100"/>
            <a:t>번 그룹 색을 검은색으로 </a:t>
          </a:r>
          <a:r>
            <a:rPr lang="en-US" altLang="ko-KR" sz="1100"/>
            <a:t>: 2 </a:t>
          </a:r>
          <a:r>
            <a:rPr lang="ko-KR" altLang="en-US" sz="1100"/>
            <a:t>번</a:t>
          </a:r>
        </a:p>
      </xdr:txBody>
    </xdr:sp>
    <xdr:clientData/>
  </xdr:twoCellAnchor>
  <xdr:twoCellAnchor>
    <xdr:from>
      <xdr:col>51</xdr:col>
      <xdr:colOff>114301</xdr:colOff>
      <xdr:row>32</xdr:row>
      <xdr:rowOff>104774</xdr:rowOff>
    </xdr:from>
    <xdr:to>
      <xdr:col>59</xdr:col>
      <xdr:colOff>123825</xdr:colOff>
      <xdr:row>34</xdr:row>
      <xdr:rowOff>114299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F4E51B51-74D4-41D0-AE8C-48AC1643D784}"/>
            </a:ext>
          </a:extLst>
        </xdr:cNvPr>
        <xdr:cNvSpPr txBox="1"/>
      </xdr:nvSpPr>
      <xdr:spPr>
        <a:xfrm>
          <a:off x="14173201" y="7183754"/>
          <a:ext cx="2143124" cy="4514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ko-KR" sz="1100"/>
            <a:t>1</a:t>
          </a:r>
          <a:r>
            <a:rPr lang="ko-KR" altLang="en-US" sz="1100"/>
            <a:t>번 그룹 색을 흰색으로 </a:t>
          </a:r>
          <a:r>
            <a:rPr lang="en-US" altLang="ko-KR" sz="1100"/>
            <a:t>: 3 </a:t>
          </a:r>
          <a:r>
            <a:rPr lang="ko-KR" altLang="en-US" sz="1100"/>
            <a:t>번</a:t>
          </a:r>
        </a:p>
      </xdr:txBody>
    </xdr:sp>
    <xdr:clientData/>
  </xdr:twoCellAnchor>
  <xdr:twoCellAnchor>
    <xdr:from>
      <xdr:col>26</xdr:col>
      <xdr:colOff>202117</xdr:colOff>
      <xdr:row>49</xdr:row>
      <xdr:rowOff>201556</xdr:rowOff>
    </xdr:from>
    <xdr:to>
      <xdr:col>35</xdr:col>
      <xdr:colOff>237042</xdr:colOff>
      <xdr:row>57</xdr:row>
      <xdr:rowOff>178696</xdr:rowOff>
    </xdr:to>
    <xdr:grpSp>
      <xdr:nvGrpSpPr>
        <xdr:cNvPr id="54" name="그룹 53">
          <a:extLst>
            <a:ext uri="{FF2B5EF4-FFF2-40B4-BE49-F238E27FC236}">
              <a16:creationId xmlns:a16="http://schemas.microsoft.com/office/drawing/2014/main" id="{8C10BC22-90B3-451E-912A-84DF8BB9ED4F}"/>
            </a:ext>
          </a:extLst>
        </xdr:cNvPr>
        <xdr:cNvGrpSpPr/>
      </xdr:nvGrpSpPr>
      <xdr:grpSpPr>
        <a:xfrm>
          <a:off x="7550447" y="10929191"/>
          <a:ext cx="2420317" cy="1726427"/>
          <a:chOff x="3790950" y="1943100"/>
          <a:chExt cx="2428875" cy="1657350"/>
        </a:xfrm>
      </xdr:grpSpPr>
      <xdr:sp macro="" textlink="">
        <xdr:nvSpPr>
          <xdr:cNvPr id="55" name="타원 54">
            <a:extLst>
              <a:ext uri="{FF2B5EF4-FFF2-40B4-BE49-F238E27FC236}">
                <a16:creationId xmlns:a16="http://schemas.microsoft.com/office/drawing/2014/main" id="{CDE73E4B-28A6-5D80-7450-AD6D955593BD}"/>
              </a:ext>
            </a:extLst>
          </xdr:cNvPr>
          <xdr:cNvSpPr/>
        </xdr:nvSpPr>
        <xdr:spPr>
          <a:xfrm>
            <a:off x="4429125" y="1943100"/>
            <a:ext cx="438150" cy="438150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1</a:t>
            </a:r>
            <a:endParaRPr lang="ko-KR" altLang="en-US" sz="1100"/>
          </a:p>
        </xdr:txBody>
      </xdr:sp>
      <xdr:sp macro="" textlink="">
        <xdr:nvSpPr>
          <xdr:cNvPr id="56" name="타원 55">
            <a:extLst>
              <a:ext uri="{FF2B5EF4-FFF2-40B4-BE49-F238E27FC236}">
                <a16:creationId xmlns:a16="http://schemas.microsoft.com/office/drawing/2014/main" id="{E1F585C2-6E83-2C4F-1C5A-9402A89F8B5D}"/>
              </a:ext>
            </a:extLst>
          </xdr:cNvPr>
          <xdr:cNvSpPr/>
        </xdr:nvSpPr>
        <xdr:spPr>
          <a:xfrm>
            <a:off x="4429125" y="2533650"/>
            <a:ext cx="438150" cy="438150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altLang="ko-KR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2</a:t>
            </a:r>
            <a:endParaRPr lang="ko-KR" alt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57" name="타원 56">
            <a:extLst>
              <a:ext uri="{FF2B5EF4-FFF2-40B4-BE49-F238E27FC236}">
                <a16:creationId xmlns:a16="http://schemas.microsoft.com/office/drawing/2014/main" id="{0AD6B94D-C1A1-A464-943F-2B55E958A46C}"/>
              </a:ext>
            </a:extLst>
          </xdr:cNvPr>
          <xdr:cNvSpPr/>
        </xdr:nvSpPr>
        <xdr:spPr>
          <a:xfrm>
            <a:off x="5067300" y="2533650"/>
            <a:ext cx="438150" cy="438150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3</a:t>
            </a:r>
            <a:endParaRPr lang="ko-KR" altLang="en-US" sz="1100"/>
          </a:p>
        </xdr:txBody>
      </xdr:sp>
      <xdr:sp macro="" textlink="">
        <xdr:nvSpPr>
          <xdr:cNvPr id="58" name="타원 57">
            <a:extLst>
              <a:ext uri="{FF2B5EF4-FFF2-40B4-BE49-F238E27FC236}">
                <a16:creationId xmlns:a16="http://schemas.microsoft.com/office/drawing/2014/main" id="{685F96BC-8042-D8C1-DB0B-F29FF2069BF6}"/>
              </a:ext>
            </a:extLst>
          </xdr:cNvPr>
          <xdr:cNvSpPr/>
        </xdr:nvSpPr>
        <xdr:spPr>
          <a:xfrm>
            <a:off x="5781675" y="2533650"/>
            <a:ext cx="438150" cy="438150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4</a:t>
            </a:r>
            <a:endParaRPr lang="ko-KR" altLang="en-US" sz="1100"/>
          </a:p>
        </xdr:txBody>
      </xdr:sp>
      <xdr:sp macro="" textlink="">
        <xdr:nvSpPr>
          <xdr:cNvPr id="59" name="타원 58">
            <a:extLst>
              <a:ext uri="{FF2B5EF4-FFF2-40B4-BE49-F238E27FC236}">
                <a16:creationId xmlns:a16="http://schemas.microsoft.com/office/drawing/2014/main" id="{F08A738A-0616-CF6D-7AED-0CF156B9EBE3}"/>
              </a:ext>
            </a:extLst>
          </xdr:cNvPr>
          <xdr:cNvSpPr/>
        </xdr:nvSpPr>
        <xdr:spPr>
          <a:xfrm>
            <a:off x="3790950" y="2533650"/>
            <a:ext cx="438150" cy="438150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5</a:t>
            </a:r>
            <a:endParaRPr lang="ko-KR" altLang="en-US" sz="1100"/>
          </a:p>
        </xdr:txBody>
      </xdr:sp>
      <xdr:sp macro="" textlink="">
        <xdr:nvSpPr>
          <xdr:cNvPr id="60" name="타원 59">
            <a:extLst>
              <a:ext uri="{FF2B5EF4-FFF2-40B4-BE49-F238E27FC236}">
                <a16:creationId xmlns:a16="http://schemas.microsoft.com/office/drawing/2014/main" id="{C6F6CAA1-379F-38DE-4611-B0ADC1BF796C}"/>
              </a:ext>
            </a:extLst>
          </xdr:cNvPr>
          <xdr:cNvSpPr/>
        </xdr:nvSpPr>
        <xdr:spPr>
          <a:xfrm>
            <a:off x="4429125" y="3162300"/>
            <a:ext cx="438150" cy="438150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6</a:t>
            </a:r>
            <a:endParaRPr lang="ko-KR" altLang="en-US" sz="1100"/>
          </a:p>
        </xdr:txBody>
      </xdr:sp>
      <xdr:cxnSp macro="">
        <xdr:nvCxnSpPr>
          <xdr:cNvPr id="61" name="직선 연결선 60">
            <a:extLst>
              <a:ext uri="{FF2B5EF4-FFF2-40B4-BE49-F238E27FC236}">
                <a16:creationId xmlns:a16="http://schemas.microsoft.com/office/drawing/2014/main" id="{D507055D-14CB-D6E3-BFA4-6D1BEF8DBE1B}"/>
              </a:ext>
            </a:extLst>
          </xdr:cNvPr>
          <xdr:cNvCxnSpPr>
            <a:stCxn id="55" idx="4"/>
            <a:endCxn id="56" idx="0"/>
          </xdr:cNvCxnSpPr>
        </xdr:nvCxnSpPr>
        <xdr:spPr>
          <a:xfrm>
            <a:off x="4648200" y="2381250"/>
            <a:ext cx="0" cy="15240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2" name="직선 연결선 61">
            <a:extLst>
              <a:ext uri="{FF2B5EF4-FFF2-40B4-BE49-F238E27FC236}">
                <a16:creationId xmlns:a16="http://schemas.microsoft.com/office/drawing/2014/main" id="{0BE58BE6-2803-A820-4051-FAD248FD7443}"/>
              </a:ext>
            </a:extLst>
          </xdr:cNvPr>
          <xdr:cNvCxnSpPr>
            <a:stCxn id="56" idx="2"/>
            <a:endCxn id="59" idx="6"/>
          </xdr:cNvCxnSpPr>
        </xdr:nvCxnSpPr>
        <xdr:spPr>
          <a:xfrm flipH="1">
            <a:off x="4229100" y="2752725"/>
            <a:ext cx="200025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" name="직선 연결선 62">
            <a:extLst>
              <a:ext uri="{FF2B5EF4-FFF2-40B4-BE49-F238E27FC236}">
                <a16:creationId xmlns:a16="http://schemas.microsoft.com/office/drawing/2014/main" id="{F3BF8E9B-6BDF-BC6D-9F98-EF4F207BE47F}"/>
              </a:ext>
            </a:extLst>
          </xdr:cNvPr>
          <xdr:cNvCxnSpPr>
            <a:stCxn id="56" idx="6"/>
            <a:endCxn id="57" idx="2"/>
          </xdr:cNvCxnSpPr>
        </xdr:nvCxnSpPr>
        <xdr:spPr>
          <a:xfrm>
            <a:off x="4867275" y="2752725"/>
            <a:ext cx="200025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" name="직선 연결선 63">
            <a:extLst>
              <a:ext uri="{FF2B5EF4-FFF2-40B4-BE49-F238E27FC236}">
                <a16:creationId xmlns:a16="http://schemas.microsoft.com/office/drawing/2014/main" id="{5EB54C9F-4A51-0AE3-6298-A66DD6844887}"/>
              </a:ext>
            </a:extLst>
          </xdr:cNvPr>
          <xdr:cNvCxnSpPr>
            <a:stCxn id="57" idx="6"/>
            <a:endCxn id="58" idx="2"/>
          </xdr:cNvCxnSpPr>
        </xdr:nvCxnSpPr>
        <xdr:spPr>
          <a:xfrm>
            <a:off x="5505450" y="2752725"/>
            <a:ext cx="276225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5" name="직선 연결선 64">
            <a:extLst>
              <a:ext uri="{FF2B5EF4-FFF2-40B4-BE49-F238E27FC236}">
                <a16:creationId xmlns:a16="http://schemas.microsoft.com/office/drawing/2014/main" id="{A68D106E-7A71-A4C4-0794-63ECF2236E25}"/>
              </a:ext>
            </a:extLst>
          </xdr:cNvPr>
          <xdr:cNvCxnSpPr>
            <a:stCxn id="56" idx="4"/>
            <a:endCxn id="60" idx="0"/>
          </xdr:cNvCxnSpPr>
        </xdr:nvCxnSpPr>
        <xdr:spPr>
          <a:xfrm>
            <a:off x="4648200" y="2971800"/>
            <a:ext cx="0" cy="19050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25363</xdr:colOff>
      <xdr:row>49</xdr:row>
      <xdr:rowOff>201556</xdr:rowOff>
    </xdr:from>
    <xdr:to>
      <xdr:col>49</xdr:col>
      <xdr:colOff>51397</xdr:colOff>
      <xdr:row>57</xdr:row>
      <xdr:rowOff>178696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466C8CF4-BC38-44BF-8935-7F022CEEAF8F}"/>
            </a:ext>
          </a:extLst>
        </xdr:cNvPr>
        <xdr:cNvGrpSpPr/>
      </xdr:nvGrpSpPr>
      <xdr:grpSpPr>
        <a:xfrm>
          <a:off x="11084302" y="10929191"/>
          <a:ext cx="2411425" cy="1726427"/>
          <a:chOff x="3790950" y="1943100"/>
          <a:chExt cx="2428875" cy="1657350"/>
        </a:xfrm>
      </xdr:grpSpPr>
      <xdr:sp macro="" textlink="">
        <xdr:nvSpPr>
          <xdr:cNvPr id="67" name="타원 66">
            <a:extLst>
              <a:ext uri="{FF2B5EF4-FFF2-40B4-BE49-F238E27FC236}">
                <a16:creationId xmlns:a16="http://schemas.microsoft.com/office/drawing/2014/main" id="{93E9D0B8-66E7-A765-7855-2AE17CC03A04}"/>
              </a:ext>
            </a:extLst>
          </xdr:cNvPr>
          <xdr:cNvSpPr/>
        </xdr:nvSpPr>
        <xdr:spPr>
          <a:xfrm>
            <a:off x="4429125" y="1943100"/>
            <a:ext cx="438150" cy="438150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1</a:t>
            </a:r>
            <a:endParaRPr lang="ko-KR" altLang="en-US" sz="1100"/>
          </a:p>
        </xdr:txBody>
      </xdr:sp>
      <xdr:sp macro="" textlink="">
        <xdr:nvSpPr>
          <xdr:cNvPr id="68" name="타원 67">
            <a:extLst>
              <a:ext uri="{FF2B5EF4-FFF2-40B4-BE49-F238E27FC236}">
                <a16:creationId xmlns:a16="http://schemas.microsoft.com/office/drawing/2014/main" id="{1DA6C56F-4E2E-B350-6D31-31A395048B74}"/>
              </a:ext>
            </a:extLst>
          </xdr:cNvPr>
          <xdr:cNvSpPr/>
        </xdr:nvSpPr>
        <xdr:spPr>
          <a:xfrm>
            <a:off x="4429125" y="2533650"/>
            <a:ext cx="438150" cy="438150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2</a:t>
            </a:r>
            <a:endParaRPr lang="ko-KR" altLang="en-US" sz="1100"/>
          </a:p>
        </xdr:txBody>
      </xdr:sp>
      <xdr:sp macro="" textlink="">
        <xdr:nvSpPr>
          <xdr:cNvPr id="69" name="타원 68">
            <a:extLst>
              <a:ext uri="{FF2B5EF4-FFF2-40B4-BE49-F238E27FC236}">
                <a16:creationId xmlns:a16="http://schemas.microsoft.com/office/drawing/2014/main" id="{3E4E9FDA-4F3B-59BA-200E-94B2436CF521}"/>
              </a:ext>
            </a:extLst>
          </xdr:cNvPr>
          <xdr:cNvSpPr/>
        </xdr:nvSpPr>
        <xdr:spPr>
          <a:xfrm>
            <a:off x="5067300" y="2533650"/>
            <a:ext cx="438150" cy="438150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3</a:t>
            </a:r>
            <a:endParaRPr lang="ko-KR" altLang="en-US" sz="1100"/>
          </a:p>
        </xdr:txBody>
      </xdr:sp>
      <xdr:sp macro="" textlink="">
        <xdr:nvSpPr>
          <xdr:cNvPr id="70" name="타원 69">
            <a:extLst>
              <a:ext uri="{FF2B5EF4-FFF2-40B4-BE49-F238E27FC236}">
                <a16:creationId xmlns:a16="http://schemas.microsoft.com/office/drawing/2014/main" id="{08EC4765-49D4-87CB-9165-A98451D7CB17}"/>
              </a:ext>
            </a:extLst>
          </xdr:cNvPr>
          <xdr:cNvSpPr/>
        </xdr:nvSpPr>
        <xdr:spPr>
          <a:xfrm>
            <a:off x="5781675" y="2533650"/>
            <a:ext cx="438150" cy="438150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4</a:t>
            </a:r>
            <a:endParaRPr lang="ko-KR" altLang="en-US" sz="1100"/>
          </a:p>
        </xdr:txBody>
      </xdr:sp>
      <xdr:sp macro="" textlink="">
        <xdr:nvSpPr>
          <xdr:cNvPr id="71" name="타원 70">
            <a:extLst>
              <a:ext uri="{FF2B5EF4-FFF2-40B4-BE49-F238E27FC236}">
                <a16:creationId xmlns:a16="http://schemas.microsoft.com/office/drawing/2014/main" id="{81524A62-CEEA-A557-6F44-08841477B593}"/>
              </a:ext>
            </a:extLst>
          </xdr:cNvPr>
          <xdr:cNvSpPr/>
        </xdr:nvSpPr>
        <xdr:spPr>
          <a:xfrm>
            <a:off x="3790950" y="2533650"/>
            <a:ext cx="438150" cy="438150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5</a:t>
            </a:r>
            <a:endParaRPr lang="ko-KR" altLang="en-US" sz="1100"/>
          </a:p>
        </xdr:txBody>
      </xdr:sp>
      <xdr:sp macro="" textlink="">
        <xdr:nvSpPr>
          <xdr:cNvPr id="72" name="타원 71">
            <a:extLst>
              <a:ext uri="{FF2B5EF4-FFF2-40B4-BE49-F238E27FC236}">
                <a16:creationId xmlns:a16="http://schemas.microsoft.com/office/drawing/2014/main" id="{650D4830-D3D3-F816-8A44-B914223C3021}"/>
              </a:ext>
            </a:extLst>
          </xdr:cNvPr>
          <xdr:cNvSpPr/>
        </xdr:nvSpPr>
        <xdr:spPr>
          <a:xfrm>
            <a:off x="4429125" y="3162300"/>
            <a:ext cx="438150" cy="438150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6</a:t>
            </a:r>
            <a:endParaRPr lang="ko-KR" altLang="en-US" sz="1100"/>
          </a:p>
        </xdr:txBody>
      </xdr:sp>
      <xdr:cxnSp macro="">
        <xdr:nvCxnSpPr>
          <xdr:cNvPr id="73" name="직선 연결선 72">
            <a:extLst>
              <a:ext uri="{FF2B5EF4-FFF2-40B4-BE49-F238E27FC236}">
                <a16:creationId xmlns:a16="http://schemas.microsoft.com/office/drawing/2014/main" id="{7A0CFC5E-B933-EAE0-2B71-0C6AF1F3852E}"/>
              </a:ext>
            </a:extLst>
          </xdr:cNvPr>
          <xdr:cNvCxnSpPr>
            <a:stCxn id="67" idx="4"/>
            <a:endCxn id="68" idx="0"/>
          </xdr:cNvCxnSpPr>
        </xdr:nvCxnSpPr>
        <xdr:spPr>
          <a:xfrm>
            <a:off x="4648200" y="2381250"/>
            <a:ext cx="0" cy="15240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4" name="직선 연결선 73">
            <a:extLst>
              <a:ext uri="{FF2B5EF4-FFF2-40B4-BE49-F238E27FC236}">
                <a16:creationId xmlns:a16="http://schemas.microsoft.com/office/drawing/2014/main" id="{5CC24581-96AA-708C-D7F0-3D61A1164140}"/>
              </a:ext>
            </a:extLst>
          </xdr:cNvPr>
          <xdr:cNvCxnSpPr>
            <a:stCxn id="68" idx="2"/>
            <a:endCxn id="71" idx="6"/>
          </xdr:cNvCxnSpPr>
        </xdr:nvCxnSpPr>
        <xdr:spPr>
          <a:xfrm flipH="1">
            <a:off x="4229100" y="2752725"/>
            <a:ext cx="200025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5" name="직선 연결선 74">
            <a:extLst>
              <a:ext uri="{FF2B5EF4-FFF2-40B4-BE49-F238E27FC236}">
                <a16:creationId xmlns:a16="http://schemas.microsoft.com/office/drawing/2014/main" id="{CC6FE983-46A7-33B3-59D1-5EA7E9E0821F}"/>
              </a:ext>
            </a:extLst>
          </xdr:cNvPr>
          <xdr:cNvCxnSpPr>
            <a:stCxn id="68" idx="6"/>
            <a:endCxn id="69" idx="2"/>
          </xdr:cNvCxnSpPr>
        </xdr:nvCxnSpPr>
        <xdr:spPr>
          <a:xfrm>
            <a:off x="4867275" y="2752725"/>
            <a:ext cx="200025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6" name="직선 연결선 75">
            <a:extLst>
              <a:ext uri="{FF2B5EF4-FFF2-40B4-BE49-F238E27FC236}">
                <a16:creationId xmlns:a16="http://schemas.microsoft.com/office/drawing/2014/main" id="{CB1B4A2A-40F2-D2C6-7C34-FEFCEFFE6852}"/>
              </a:ext>
            </a:extLst>
          </xdr:cNvPr>
          <xdr:cNvCxnSpPr>
            <a:stCxn id="69" idx="6"/>
            <a:endCxn id="70" idx="2"/>
          </xdr:cNvCxnSpPr>
        </xdr:nvCxnSpPr>
        <xdr:spPr>
          <a:xfrm>
            <a:off x="5505450" y="2752725"/>
            <a:ext cx="276225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7" name="직선 연결선 76">
            <a:extLst>
              <a:ext uri="{FF2B5EF4-FFF2-40B4-BE49-F238E27FC236}">
                <a16:creationId xmlns:a16="http://schemas.microsoft.com/office/drawing/2014/main" id="{C0E4D3B7-D536-2FA4-6D4C-B2BCCA5E8888}"/>
              </a:ext>
            </a:extLst>
          </xdr:cNvPr>
          <xdr:cNvCxnSpPr>
            <a:stCxn id="68" idx="4"/>
            <a:endCxn id="72" idx="0"/>
          </xdr:cNvCxnSpPr>
        </xdr:nvCxnSpPr>
        <xdr:spPr>
          <a:xfrm>
            <a:off x="4648200" y="2971800"/>
            <a:ext cx="0" cy="19050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36</xdr:col>
      <xdr:colOff>257175</xdr:colOff>
      <xdr:row>52</xdr:row>
      <xdr:rowOff>174252</xdr:rowOff>
    </xdr:from>
    <xdr:to>
      <xdr:col>38</xdr:col>
      <xdr:colOff>133350</xdr:colOff>
      <xdr:row>54</xdr:row>
      <xdr:rowOff>164728</xdr:rowOff>
    </xdr:to>
    <xdr:sp macro="" textlink="">
      <xdr:nvSpPr>
        <xdr:cNvPr id="78" name="줄무늬가 있는 오른쪽 화살표 102">
          <a:extLst>
            <a:ext uri="{FF2B5EF4-FFF2-40B4-BE49-F238E27FC236}">
              <a16:creationId xmlns:a16="http://schemas.microsoft.com/office/drawing/2014/main" id="{85430620-4272-4F07-BE4A-4E7C52E1115F}"/>
            </a:ext>
          </a:extLst>
        </xdr:cNvPr>
        <xdr:cNvSpPr/>
      </xdr:nvSpPr>
      <xdr:spPr>
        <a:xfrm>
          <a:off x="10315575" y="11672832"/>
          <a:ext cx="409575" cy="432436"/>
        </a:xfrm>
        <a:prstGeom prst="stripedRigh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39</xdr:col>
      <xdr:colOff>169209</xdr:colOff>
      <xdr:row>46</xdr:row>
      <xdr:rowOff>149599</xdr:rowOff>
    </xdr:from>
    <xdr:to>
      <xdr:col>47</xdr:col>
      <xdr:colOff>219075</xdr:colOff>
      <xdr:row>48</xdr:row>
      <xdr:rowOff>159123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C54C66A-3EB3-4CC5-86A1-494047F8F89C}"/>
            </a:ext>
          </a:extLst>
        </xdr:cNvPr>
        <xdr:cNvSpPr txBox="1"/>
      </xdr:nvSpPr>
      <xdr:spPr>
        <a:xfrm>
          <a:off x="11027709" y="10322299"/>
          <a:ext cx="2183466" cy="4514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ko-KR" sz="1100"/>
            <a:t>2</a:t>
          </a:r>
          <a:r>
            <a:rPr lang="ko-KR" altLang="en-US" sz="1100"/>
            <a:t>번 그룹 색을 흰색으로 </a:t>
          </a:r>
          <a:r>
            <a:rPr lang="en-US" altLang="ko-KR" sz="1100"/>
            <a:t>: 2 </a:t>
          </a:r>
          <a:r>
            <a:rPr lang="ko-KR" altLang="en-US" sz="1100"/>
            <a:t>번</a:t>
          </a:r>
        </a:p>
      </xdr:txBody>
    </xdr:sp>
    <xdr:clientData/>
  </xdr:twoCellAnchor>
  <xdr:twoCellAnchor>
    <xdr:from>
      <xdr:col>14</xdr:col>
      <xdr:colOff>53340</xdr:colOff>
      <xdr:row>50</xdr:row>
      <xdr:rowOff>29658</xdr:rowOff>
    </xdr:from>
    <xdr:to>
      <xdr:col>23</xdr:col>
      <xdr:colOff>84455</xdr:colOff>
      <xdr:row>58</xdr:row>
      <xdr:rowOff>16323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5EAA4F43-2419-42D1-AB87-0985865AEA9E}"/>
            </a:ext>
          </a:extLst>
        </xdr:cNvPr>
        <xdr:cNvGrpSpPr/>
      </xdr:nvGrpSpPr>
      <xdr:grpSpPr>
        <a:xfrm>
          <a:off x="4221149" y="10975954"/>
          <a:ext cx="2416506" cy="1735952"/>
          <a:chOff x="3790950" y="1943100"/>
          <a:chExt cx="2428875" cy="1657350"/>
        </a:xfrm>
      </xdr:grpSpPr>
      <xdr:sp macro="" textlink="">
        <xdr:nvSpPr>
          <xdr:cNvPr id="81" name="타원 80">
            <a:extLst>
              <a:ext uri="{FF2B5EF4-FFF2-40B4-BE49-F238E27FC236}">
                <a16:creationId xmlns:a16="http://schemas.microsoft.com/office/drawing/2014/main" id="{304E233A-ED3B-3EE6-14D4-2E85D44A77FD}"/>
              </a:ext>
            </a:extLst>
          </xdr:cNvPr>
          <xdr:cNvSpPr/>
        </xdr:nvSpPr>
        <xdr:spPr>
          <a:xfrm>
            <a:off x="4429125" y="1943100"/>
            <a:ext cx="438150" cy="438150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1</a:t>
            </a:r>
            <a:endParaRPr lang="ko-KR" altLang="en-US" sz="1100"/>
          </a:p>
        </xdr:txBody>
      </xdr:sp>
      <xdr:sp macro="" textlink="">
        <xdr:nvSpPr>
          <xdr:cNvPr id="82" name="타원 81">
            <a:extLst>
              <a:ext uri="{FF2B5EF4-FFF2-40B4-BE49-F238E27FC236}">
                <a16:creationId xmlns:a16="http://schemas.microsoft.com/office/drawing/2014/main" id="{3FEB3878-11CC-8FFD-E13B-63FEA9D25E04}"/>
              </a:ext>
            </a:extLst>
          </xdr:cNvPr>
          <xdr:cNvSpPr/>
        </xdr:nvSpPr>
        <xdr:spPr>
          <a:xfrm>
            <a:off x="4429125" y="2533650"/>
            <a:ext cx="438150" cy="438150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2</a:t>
            </a:r>
            <a:endParaRPr lang="ko-KR" altLang="en-US" sz="1100"/>
          </a:p>
        </xdr:txBody>
      </xdr:sp>
      <xdr:sp macro="" textlink="">
        <xdr:nvSpPr>
          <xdr:cNvPr id="83" name="타원 82">
            <a:extLst>
              <a:ext uri="{FF2B5EF4-FFF2-40B4-BE49-F238E27FC236}">
                <a16:creationId xmlns:a16="http://schemas.microsoft.com/office/drawing/2014/main" id="{E8230C79-F62B-A033-F9A7-C2D62042FECB}"/>
              </a:ext>
            </a:extLst>
          </xdr:cNvPr>
          <xdr:cNvSpPr/>
        </xdr:nvSpPr>
        <xdr:spPr>
          <a:xfrm>
            <a:off x="5067300" y="2533650"/>
            <a:ext cx="438150" cy="438150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3</a:t>
            </a:r>
            <a:endParaRPr lang="ko-KR" altLang="en-US" sz="1100"/>
          </a:p>
        </xdr:txBody>
      </xdr:sp>
      <xdr:sp macro="" textlink="">
        <xdr:nvSpPr>
          <xdr:cNvPr id="84" name="타원 83">
            <a:extLst>
              <a:ext uri="{FF2B5EF4-FFF2-40B4-BE49-F238E27FC236}">
                <a16:creationId xmlns:a16="http://schemas.microsoft.com/office/drawing/2014/main" id="{4E8202B2-EE9C-01CE-3A36-50E350C91F45}"/>
              </a:ext>
            </a:extLst>
          </xdr:cNvPr>
          <xdr:cNvSpPr/>
        </xdr:nvSpPr>
        <xdr:spPr>
          <a:xfrm>
            <a:off x="5781675" y="2533650"/>
            <a:ext cx="438150" cy="438150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4</a:t>
            </a:r>
            <a:endParaRPr lang="ko-KR" altLang="en-US" sz="1100"/>
          </a:p>
        </xdr:txBody>
      </xdr:sp>
      <xdr:sp macro="" textlink="">
        <xdr:nvSpPr>
          <xdr:cNvPr id="85" name="타원 84">
            <a:extLst>
              <a:ext uri="{FF2B5EF4-FFF2-40B4-BE49-F238E27FC236}">
                <a16:creationId xmlns:a16="http://schemas.microsoft.com/office/drawing/2014/main" id="{10ECC8B3-230A-EF63-FF3A-1D7A88C2C306}"/>
              </a:ext>
            </a:extLst>
          </xdr:cNvPr>
          <xdr:cNvSpPr/>
        </xdr:nvSpPr>
        <xdr:spPr>
          <a:xfrm>
            <a:off x="3790950" y="2533650"/>
            <a:ext cx="438150" cy="438150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5</a:t>
            </a:r>
            <a:endParaRPr lang="ko-KR" altLang="en-US" sz="1100"/>
          </a:p>
        </xdr:txBody>
      </xdr:sp>
      <xdr:sp macro="" textlink="">
        <xdr:nvSpPr>
          <xdr:cNvPr id="86" name="타원 85">
            <a:extLst>
              <a:ext uri="{FF2B5EF4-FFF2-40B4-BE49-F238E27FC236}">
                <a16:creationId xmlns:a16="http://schemas.microsoft.com/office/drawing/2014/main" id="{4C7D95D0-C3ED-803C-5F83-0CA4BE0773C5}"/>
              </a:ext>
            </a:extLst>
          </xdr:cNvPr>
          <xdr:cNvSpPr/>
        </xdr:nvSpPr>
        <xdr:spPr>
          <a:xfrm>
            <a:off x="4429125" y="3162300"/>
            <a:ext cx="438150" cy="438150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6</a:t>
            </a:r>
            <a:endParaRPr lang="ko-KR" altLang="en-US" sz="1100"/>
          </a:p>
        </xdr:txBody>
      </xdr:sp>
      <xdr:cxnSp macro="">
        <xdr:nvCxnSpPr>
          <xdr:cNvPr id="87" name="직선 연결선 86">
            <a:extLst>
              <a:ext uri="{FF2B5EF4-FFF2-40B4-BE49-F238E27FC236}">
                <a16:creationId xmlns:a16="http://schemas.microsoft.com/office/drawing/2014/main" id="{F0E36EA3-C55D-199C-734B-DDAA089BFA28}"/>
              </a:ext>
            </a:extLst>
          </xdr:cNvPr>
          <xdr:cNvCxnSpPr>
            <a:stCxn id="81" idx="4"/>
            <a:endCxn id="82" idx="0"/>
          </xdr:cNvCxnSpPr>
        </xdr:nvCxnSpPr>
        <xdr:spPr>
          <a:xfrm>
            <a:off x="4648200" y="2381250"/>
            <a:ext cx="0" cy="15240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8" name="직선 연결선 87">
            <a:extLst>
              <a:ext uri="{FF2B5EF4-FFF2-40B4-BE49-F238E27FC236}">
                <a16:creationId xmlns:a16="http://schemas.microsoft.com/office/drawing/2014/main" id="{C93DEAA6-F4F2-9A48-50D9-27CA92675CFF}"/>
              </a:ext>
            </a:extLst>
          </xdr:cNvPr>
          <xdr:cNvCxnSpPr>
            <a:stCxn id="82" idx="2"/>
            <a:endCxn id="85" idx="6"/>
          </xdr:cNvCxnSpPr>
        </xdr:nvCxnSpPr>
        <xdr:spPr>
          <a:xfrm flipH="1">
            <a:off x="4229100" y="2752725"/>
            <a:ext cx="200025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9" name="직선 연결선 88">
            <a:extLst>
              <a:ext uri="{FF2B5EF4-FFF2-40B4-BE49-F238E27FC236}">
                <a16:creationId xmlns:a16="http://schemas.microsoft.com/office/drawing/2014/main" id="{F57FB8CD-0B1E-82AB-D76B-8EDB23BE9235}"/>
              </a:ext>
            </a:extLst>
          </xdr:cNvPr>
          <xdr:cNvCxnSpPr>
            <a:stCxn id="82" idx="6"/>
            <a:endCxn id="83" idx="2"/>
          </xdr:cNvCxnSpPr>
        </xdr:nvCxnSpPr>
        <xdr:spPr>
          <a:xfrm>
            <a:off x="4867275" y="2752725"/>
            <a:ext cx="200025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0" name="직선 연결선 89">
            <a:extLst>
              <a:ext uri="{FF2B5EF4-FFF2-40B4-BE49-F238E27FC236}">
                <a16:creationId xmlns:a16="http://schemas.microsoft.com/office/drawing/2014/main" id="{DAC3E435-12BD-E3D9-264F-92A27DC57391}"/>
              </a:ext>
            </a:extLst>
          </xdr:cNvPr>
          <xdr:cNvCxnSpPr>
            <a:stCxn id="83" idx="6"/>
            <a:endCxn id="84" idx="2"/>
          </xdr:cNvCxnSpPr>
        </xdr:nvCxnSpPr>
        <xdr:spPr>
          <a:xfrm>
            <a:off x="5505450" y="2752725"/>
            <a:ext cx="276225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1" name="직선 연결선 90">
            <a:extLst>
              <a:ext uri="{FF2B5EF4-FFF2-40B4-BE49-F238E27FC236}">
                <a16:creationId xmlns:a16="http://schemas.microsoft.com/office/drawing/2014/main" id="{B9307826-EEE1-4A60-0D44-6CFAC1148121}"/>
              </a:ext>
            </a:extLst>
          </xdr:cNvPr>
          <xdr:cNvCxnSpPr>
            <a:stCxn id="82" idx="4"/>
            <a:endCxn id="86" idx="0"/>
          </xdr:cNvCxnSpPr>
        </xdr:nvCxnSpPr>
        <xdr:spPr>
          <a:xfrm>
            <a:off x="4648200" y="2971800"/>
            <a:ext cx="0" cy="19050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38100</xdr:colOff>
      <xdr:row>53</xdr:row>
      <xdr:rowOff>6162</xdr:rowOff>
    </xdr:from>
    <xdr:to>
      <xdr:col>25</xdr:col>
      <xdr:colOff>180975</xdr:colOff>
      <xdr:row>54</xdr:row>
      <xdr:rowOff>209550</xdr:rowOff>
    </xdr:to>
    <xdr:sp macro="" textlink="">
      <xdr:nvSpPr>
        <xdr:cNvPr id="92" name="줄무늬가 있는 오른쪽 화살표 116">
          <a:extLst>
            <a:ext uri="{FF2B5EF4-FFF2-40B4-BE49-F238E27FC236}">
              <a16:creationId xmlns:a16="http://schemas.microsoft.com/office/drawing/2014/main" id="{9AE2E1B0-3F1A-4509-BDB6-8D8276829DCD}"/>
            </a:ext>
          </a:extLst>
        </xdr:cNvPr>
        <xdr:cNvSpPr/>
      </xdr:nvSpPr>
      <xdr:spPr>
        <a:xfrm>
          <a:off x="6896100" y="11725722"/>
          <a:ext cx="409575" cy="424368"/>
        </a:xfrm>
        <a:prstGeom prst="stripedRigh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125507</xdr:colOff>
      <xdr:row>32</xdr:row>
      <xdr:rowOff>104774</xdr:rowOff>
    </xdr:from>
    <xdr:to>
      <xdr:col>34</xdr:col>
      <xdr:colOff>135031</xdr:colOff>
      <xdr:row>34</xdr:row>
      <xdr:rowOff>114299</xdr:rowOff>
    </xdr:to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B15007C2-CBE1-4A5C-A447-AC7558FF25E4}"/>
            </a:ext>
          </a:extLst>
        </xdr:cNvPr>
        <xdr:cNvSpPr txBox="1"/>
      </xdr:nvSpPr>
      <xdr:spPr>
        <a:xfrm>
          <a:off x="7516907" y="7183754"/>
          <a:ext cx="2143124" cy="4514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ko-KR" sz="1100"/>
            <a:t>1</a:t>
          </a:r>
          <a:r>
            <a:rPr lang="ko-KR" altLang="en-US" sz="1100"/>
            <a:t>번 그룹 색을 흰색으로 </a:t>
          </a:r>
          <a:r>
            <a:rPr lang="en-US" altLang="ko-KR" sz="1100"/>
            <a:t>: 1 </a:t>
          </a:r>
          <a:r>
            <a:rPr lang="ko-KR" altLang="en-US" sz="1100"/>
            <a:t>번</a:t>
          </a:r>
        </a:p>
      </xdr:txBody>
    </xdr:sp>
    <xdr:clientData/>
  </xdr:twoCellAnchor>
  <xdr:twoCellAnchor>
    <xdr:from>
      <xdr:col>2</xdr:col>
      <xdr:colOff>89647</xdr:colOff>
      <xdr:row>0</xdr:row>
      <xdr:rowOff>190500</xdr:rowOff>
    </xdr:from>
    <xdr:to>
      <xdr:col>29</xdr:col>
      <xdr:colOff>234461</xdr:colOff>
      <xdr:row>27</xdr:row>
      <xdr:rowOff>16565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F25E3C40-E8BE-43F2-BEE5-AA88370EC0F5}"/>
            </a:ext>
          </a:extLst>
        </xdr:cNvPr>
        <xdr:cNvSpPr txBox="1"/>
      </xdr:nvSpPr>
      <xdr:spPr>
        <a:xfrm>
          <a:off x="973567" y="190500"/>
          <a:ext cx="7452394" cy="58001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[</a:t>
          </a:r>
          <a:r>
            <a:rPr lang="ko-KR" altLang="en-US" sz="1100"/>
            <a:t>문제 개요</a:t>
          </a:r>
          <a:r>
            <a:rPr lang="en-US" altLang="ko-KR" sz="1100"/>
            <a:t>]</a:t>
          </a:r>
        </a:p>
        <a:p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M×N(100*100)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그리드 위에 놓여있는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MN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개의 흰색과 검은색 돌들을 가지고 게임을 시작한다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임의의 돌 하나를 선택하여 색을 바꾸는 작업을 반복하여 모든 돌의 색을 한 가지로 바꾸면 게임은 끝난다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그런데 임의의 돌 하나를 선택하여 색을 바꿀때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선택된 돌과 상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좌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우로 연결된 같은 색의 돌  모두의 색이 함께 바뀐다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문제 분석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상하좌우로 연결된 같은 색의 돌들에 번호를 부여하고 이를 하나의 노드로 볼 수 있다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이웃한 노드를 간선으로 연결하면 아래 그림과 같이 상태를 표현할 수 있게 된다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이제 모든 노드를 시작점으로 색 바꾸기를 시도해 볼 수 있다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결국 색바꾸기는 시작점에서 나머지 모든 노드까지 최단거리를 구하는 문제로 볼 수 있고</a:t>
          </a:r>
          <a:b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이웃한 노드 사이 거리는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로 일정하므로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BFS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로 해결 할 수 있다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해결 전략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altLang="ko-K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 * M </a:t>
          </a:r>
          <a:r>
            <a:rPr lang="ko-KR" alt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그리드를 순회하면서 그래프를 구성한다</a:t>
          </a:r>
          <a:r>
            <a:rPr lang="en-US" altLang="ko-K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노드 수는 최대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10000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 나올</a:t>
          </a:r>
          <a:r>
            <a:rPr lang="ko-KR" alt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수 있다</a:t>
          </a:r>
          <a:r>
            <a:rPr lang="en-US" altLang="ko-K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US" altLang="ko-K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ko-KR" alt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모든 노드를 시작점으로 </a:t>
          </a:r>
          <a:r>
            <a:rPr lang="en-US" altLang="ko-K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BFS</a:t>
          </a:r>
          <a:r>
            <a:rPr lang="ko-KR" alt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시도하여 최장 거리가 가장 짧은 경우를 찾으면 답이 된다</a:t>
          </a:r>
          <a:r>
            <a:rPr lang="en-US" altLang="ko-K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US" altLang="ko-K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ko-KR" alt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이때</a:t>
          </a:r>
          <a:r>
            <a:rPr lang="en-US" altLang="ko-K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시간이 많이 걸린다</a:t>
          </a:r>
          <a:r>
            <a:rPr lang="en-US" altLang="ko-K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이를 효율적으로 할 수 있을까</a:t>
          </a:r>
          <a:r>
            <a:rPr lang="en-US" altLang="ko-K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</a:t>
          </a:r>
        </a:p>
        <a:p>
          <a:r>
            <a:rPr lang="en-US" altLang="ko-K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BFS</a:t>
          </a:r>
          <a:r>
            <a:rPr lang="ko-KR" alt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탐색의 시작노드로 고려할 필요가 없는 노드를 가지치기 하는 전략을 생각할 수 있다</a:t>
          </a:r>
          <a:r>
            <a:rPr lang="en-US" altLang="ko-K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br>
            <a:rPr lang="en-US" altLang="ko-K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(</a:t>
          </a:r>
          <a:r>
            <a:rPr lang="ko-KR" alt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맨 아래 그림 참조</a:t>
          </a:r>
          <a:r>
            <a:rPr lang="en-US" altLang="ko-K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184905</xdr:colOff>
      <xdr:row>69</xdr:row>
      <xdr:rowOff>176293</xdr:rowOff>
    </xdr:from>
    <xdr:to>
      <xdr:col>13</xdr:col>
      <xdr:colOff>89655</xdr:colOff>
      <xdr:row>71</xdr:row>
      <xdr:rowOff>188993</xdr:rowOff>
    </xdr:to>
    <xdr:sp macro="" textlink="">
      <xdr:nvSpPr>
        <xdr:cNvPr id="95" name="타원 94">
          <a:extLst>
            <a:ext uri="{FF2B5EF4-FFF2-40B4-BE49-F238E27FC236}">
              <a16:creationId xmlns:a16="http://schemas.microsoft.com/office/drawing/2014/main" id="{190019FE-FBF9-4A4B-8283-3B96485843BD}"/>
            </a:ext>
          </a:extLst>
        </xdr:cNvPr>
        <xdr:cNvSpPr/>
      </xdr:nvSpPr>
      <xdr:spPr>
        <a:xfrm>
          <a:off x="3522465" y="15431533"/>
          <a:ext cx="438150" cy="45466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5</a:t>
          </a:r>
          <a:endParaRPr lang="ko-KR" altLang="en-US" sz="1100"/>
        </a:p>
      </xdr:txBody>
    </xdr:sp>
    <xdr:clientData/>
  </xdr:twoCellAnchor>
  <xdr:twoCellAnchor>
    <xdr:from>
      <xdr:col>14</xdr:col>
      <xdr:colOff>84484</xdr:colOff>
      <xdr:row>69</xdr:row>
      <xdr:rowOff>168966</xdr:rowOff>
    </xdr:from>
    <xdr:to>
      <xdr:col>15</xdr:col>
      <xdr:colOff>254278</xdr:colOff>
      <xdr:row>71</xdr:row>
      <xdr:rowOff>178491</xdr:rowOff>
    </xdr:to>
    <xdr:sp macro="" textlink="">
      <xdr:nvSpPr>
        <xdr:cNvPr id="96" name="타원 95">
          <a:extLst>
            <a:ext uri="{FF2B5EF4-FFF2-40B4-BE49-F238E27FC236}">
              <a16:creationId xmlns:a16="http://schemas.microsoft.com/office/drawing/2014/main" id="{A61C3B56-7827-435A-B3EC-A8F204320652}"/>
            </a:ext>
          </a:extLst>
        </xdr:cNvPr>
        <xdr:cNvSpPr/>
      </xdr:nvSpPr>
      <xdr:spPr>
        <a:xfrm>
          <a:off x="4275484" y="15424206"/>
          <a:ext cx="436494" cy="45148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3</a:t>
          </a:r>
          <a:endParaRPr lang="ko-KR" altLang="en-US" sz="1100"/>
        </a:p>
      </xdr:txBody>
    </xdr:sp>
    <xdr:clientData/>
  </xdr:twoCellAnchor>
  <xdr:twoCellAnchor>
    <xdr:from>
      <xdr:col>17</xdr:col>
      <xdr:colOff>24850</xdr:colOff>
      <xdr:row>69</xdr:row>
      <xdr:rowOff>168966</xdr:rowOff>
    </xdr:from>
    <xdr:to>
      <xdr:col>18</xdr:col>
      <xdr:colOff>194643</xdr:colOff>
      <xdr:row>71</xdr:row>
      <xdr:rowOff>178491</xdr:rowOff>
    </xdr:to>
    <xdr:sp macro="" textlink="">
      <xdr:nvSpPr>
        <xdr:cNvPr id="97" name="타원 96">
          <a:extLst>
            <a:ext uri="{FF2B5EF4-FFF2-40B4-BE49-F238E27FC236}">
              <a16:creationId xmlns:a16="http://schemas.microsoft.com/office/drawing/2014/main" id="{8FB28A8D-8723-4891-A227-F7F79628FB4C}"/>
            </a:ext>
          </a:extLst>
        </xdr:cNvPr>
        <xdr:cNvSpPr/>
      </xdr:nvSpPr>
      <xdr:spPr>
        <a:xfrm>
          <a:off x="5015950" y="15424206"/>
          <a:ext cx="436493" cy="45148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4</a:t>
          </a:r>
          <a:endParaRPr lang="ko-KR" altLang="en-US" sz="1100"/>
        </a:p>
      </xdr:txBody>
    </xdr:sp>
    <xdr:clientData/>
  </xdr:twoCellAnchor>
  <xdr:twoCellAnchor>
    <xdr:from>
      <xdr:col>19</xdr:col>
      <xdr:colOff>230259</xdr:colOff>
      <xdr:row>69</xdr:row>
      <xdr:rowOff>168966</xdr:rowOff>
    </xdr:from>
    <xdr:to>
      <xdr:col>21</xdr:col>
      <xdr:colOff>135009</xdr:colOff>
      <xdr:row>71</xdr:row>
      <xdr:rowOff>178491</xdr:rowOff>
    </xdr:to>
    <xdr:sp macro="" textlink="">
      <xdr:nvSpPr>
        <xdr:cNvPr id="98" name="타원 97">
          <a:extLst>
            <a:ext uri="{FF2B5EF4-FFF2-40B4-BE49-F238E27FC236}">
              <a16:creationId xmlns:a16="http://schemas.microsoft.com/office/drawing/2014/main" id="{338C385F-AA33-4BBB-92EC-7947A7589E94}"/>
            </a:ext>
          </a:extLst>
        </xdr:cNvPr>
        <xdr:cNvSpPr/>
      </xdr:nvSpPr>
      <xdr:spPr>
        <a:xfrm>
          <a:off x="5754759" y="15424206"/>
          <a:ext cx="438150" cy="45148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1</a:t>
          </a:r>
          <a:endParaRPr lang="ko-KR" altLang="en-US" sz="1100"/>
        </a:p>
      </xdr:txBody>
    </xdr:sp>
    <xdr:clientData/>
  </xdr:twoCellAnchor>
  <xdr:twoCellAnchor>
    <xdr:from>
      <xdr:col>22</xdr:col>
      <xdr:colOff>170624</xdr:colOff>
      <xdr:row>69</xdr:row>
      <xdr:rowOff>168966</xdr:rowOff>
    </xdr:from>
    <xdr:to>
      <xdr:col>24</xdr:col>
      <xdr:colOff>75375</xdr:colOff>
      <xdr:row>71</xdr:row>
      <xdr:rowOff>178491</xdr:rowOff>
    </xdr:to>
    <xdr:sp macro="" textlink="">
      <xdr:nvSpPr>
        <xdr:cNvPr id="99" name="타원 98">
          <a:extLst>
            <a:ext uri="{FF2B5EF4-FFF2-40B4-BE49-F238E27FC236}">
              <a16:creationId xmlns:a16="http://schemas.microsoft.com/office/drawing/2014/main" id="{7EA1E921-49C5-48A9-9998-F24FF9AF6B07}"/>
            </a:ext>
          </a:extLst>
        </xdr:cNvPr>
        <xdr:cNvSpPr/>
      </xdr:nvSpPr>
      <xdr:spPr>
        <a:xfrm>
          <a:off x="6495224" y="15424206"/>
          <a:ext cx="438151" cy="45148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6</a:t>
          </a:r>
          <a:endParaRPr lang="ko-KR" altLang="en-US" sz="1100"/>
        </a:p>
      </xdr:txBody>
    </xdr:sp>
    <xdr:clientData/>
  </xdr:twoCellAnchor>
  <xdr:twoCellAnchor>
    <xdr:from>
      <xdr:col>25</xdr:col>
      <xdr:colOff>110990</xdr:colOff>
      <xdr:row>69</xdr:row>
      <xdr:rowOff>168966</xdr:rowOff>
    </xdr:from>
    <xdr:to>
      <xdr:col>27</xdr:col>
      <xdr:colOff>15740</xdr:colOff>
      <xdr:row>71</xdr:row>
      <xdr:rowOff>178491</xdr:rowOff>
    </xdr:to>
    <xdr:sp macro="" textlink="">
      <xdr:nvSpPr>
        <xdr:cNvPr id="100" name="타원 99">
          <a:extLst>
            <a:ext uri="{FF2B5EF4-FFF2-40B4-BE49-F238E27FC236}">
              <a16:creationId xmlns:a16="http://schemas.microsoft.com/office/drawing/2014/main" id="{B4A6CCA4-83D1-4360-B7A8-89B8E1DDE09C}"/>
            </a:ext>
          </a:extLst>
        </xdr:cNvPr>
        <xdr:cNvSpPr/>
      </xdr:nvSpPr>
      <xdr:spPr>
        <a:xfrm>
          <a:off x="7235690" y="15424206"/>
          <a:ext cx="438150" cy="45148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7</a:t>
          </a:r>
          <a:endParaRPr lang="ko-KR" altLang="en-US" sz="1100"/>
        </a:p>
      </xdr:txBody>
    </xdr:sp>
    <xdr:clientData/>
  </xdr:twoCellAnchor>
  <xdr:twoCellAnchor>
    <xdr:from>
      <xdr:col>28</xdr:col>
      <xdr:colOff>48181</xdr:colOff>
      <xdr:row>69</xdr:row>
      <xdr:rowOff>168966</xdr:rowOff>
    </xdr:from>
    <xdr:to>
      <xdr:col>29</xdr:col>
      <xdr:colOff>217974</xdr:colOff>
      <xdr:row>71</xdr:row>
      <xdr:rowOff>181666</xdr:rowOff>
    </xdr:to>
    <xdr:sp macro="" textlink="">
      <xdr:nvSpPr>
        <xdr:cNvPr id="101" name="타원 100">
          <a:extLst>
            <a:ext uri="{FF2B5EF4-FFF2-40B4-BE49-F238E27FC236}">
              <a16:creationId xmlns:a16="http://schemas.microsoft.com/office/drawing/2014/main" id="{190B7743-9ACB-4741-96EE-5BE3862F2443}"/>
            </a:ext>
          </a:extLst>
        </xdr:cNvPr>
        <xdr:cNvSpPr/>
      </xdr:nvSpPr>
      <xdr:spPr>
        <a:xfrm>
          <a:off x="7972981" y="15424206"/>
          <a:ext cx="436493" cy="45466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8</a:t>
          </a:r>
          <a:endParaRPr lang="ko-KR" altLang="en-US" sz="1100"/>
        </a:p>
      </xdr:txBody>
    </xdr:sp>
    <xdr:clientData/>
  </xdr:twoCellAnchor>
  <xdr:twoCellAnchor>
    <xdr:from>
      <xdr:col>30</xdr:col>
      <xdr:colOff>259940</xdr:colOff>
      <xdr:row>69</xdr:row>
      <xdr:rowOff>168966</xdr:rowOff>
    </xdr:from>
    <xdr:to>
      <xdr:col>32</xdr:col>
      <xdr:colOff>164690</xdr:colOff>
      <xdr:row>71</xdr:row>
      <xdr:rowOff>181666</xdr:rowOff>
    </xdr:to>
    <xdr:sp macro="" textlink="">
      <xdr:nvSpPr>
        <xdr:cNvPr id="102" name="타원 101">
          <a:extLst>
            <a:ext uri="{FF2B5EF4-FFF2-40B4-BE49-F238E27FC236}">
              <a16:creationId xmlns:a16="http://schemas.microsoft.com/office/drawing/2014/main" id="{9AC99960-9C8D-43C4-B73F-DE291517A549}"/>
            </a:ext>
          </a:extLst>
        </xdr:cNvPr>
        <xdr:cNvSpPr/>
      </xdr:nvSpPr>
      <xdr:spPr>
        <a:xfrm>
          <a:off x="8718140" y="15424206"/>
          <a:ext cx="438150" cy="45466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9</a:t>
          </a:r>
          <a:endParaRPr lang="ko-KR" altLang="en-US" sz="1100"/>
        </a:p>
      </xdr:txBody>
    </xdr:sp>
    <xdr:clientData/>
  </xdr:twoCellAnchor>
  <xdr:twoCellAnchor>
    <xdr:from>
      <xdr:col>33</xdr:col>
      <xdr:colOff>200305</xdr:colOff>
      <xdr:row>69</xdr:row>
      <xdr:rowOff>168966</xdr:rowOff>
    </xdr:from>
    <xdr:to>
      <xdr:col>35</xdr:col>
      <xdr:colOff>105055</xdr:colOff>
      <xdr:row>71</xdr:row>
      <xdr:rowOff>181666</xdr:rowOff>
    </xdr:to>
    <xdr:sp macro="" textlink="">
      <xdr:nvSpPr>
        <xdr:cNvPr id="103" name="타원 102">
          <a:extLst>
            <a:ext uri="{FF2B5EF4-FFF2-40B4-BE49-F238E27FC236}">
              <a16:creationId xmlns:a16="http://schemas.microsoft.com/office/drawing/2014/main" id="{E24ABC6C-67D9-4129-9726-00CB4F5807A4}"/>
            </a:ext>
          </a:extLst>
        </xdr:cNvPr>
        <xdr:cNvSpPr/>
      </xdr:nvSpPr>
      <xdr:spPr>
        <a:xfrm>
          <a:off x="9458605" y="15424206"/>
          <a:ext cx="438150" cy="45466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10</a:t>
          </a:r>
          <a:endParaRPr lang="ko-KR" altLang="en-US" sz="1100"/>
        </a:p>
      </xdr:txBody>
    </xdr:sp>
    <xdr:clientData/>
  </xdr:twoCellAnchor>
  <xdr:twoCellAnchor>
    <xdr:from>
      <xdr:col>36</xdr:col>
      <xdr:colOff>140671</xdr:colOff>
      <xdr:row>69</xdr:row>
      <xdr:rowOff>168966</xdr:rowOff>
    </xdr:from>
    <xdr:to>
      <xdr:col>38</xdr:col>
      <xdr:colOff>45421</xdr:colOff>
      <xdr:row>71</xdr:row>
      <xdr:rowOff>181666</xdr:rowOff>
    </xdr:to>
    <xdr:sp macro="" textlink="">
      <xdr:nvSpPr>
        <xdr:cNvPr id="104" name="타원 103">
          <a:extLst>
            <a:ext uri="{FF2B5EF4-FFF2-40B4-BE49-F238E27FC236}">
              <a16:creationId xmlns:a16="http://schemas.microsoft.com/office/drawing/2014/main" id="{50B52086-E5A7-44B0-8C22-F9A48C3A9B19}"/>
            </a:ext>
          </a:extLst>
        </xdr:cNvPr>
        <xdr:cNvSpPr/>
      </xdr:nvSpPr>
      <xdr:spPr>
        <a:xfrm>
          <a:off x="10199071" y="15424206"/>
          <a:ext cx="438150" cy="45466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11</a:t>
          </a:r>
          <a:endParaRPr lang="ko-KR" altLang="en-US" sz="1100"/>
        </a:p>
      </xdr:txBody>
    </xdr:sp>
    <xdr:clientData/>
  </xdr:twoCellAnchor>
  <xdr:twoCellAnchor>
    <xdr:from>
      <xdr:col>39</xdr:col>
      <xdr:colOff>77861</xdr:colOff>
      <xdr:row>69</xdr:row>
      <xdr:rowOff>168966</xdr:rowOff>
    </xdr:from>
    <xdr:to>
      <xdr:col>40</xdr:col>
      <xdr:colOff>247655</xdr:colOff>
      <xdr:row>71</xdr:row>
      <xdr:rowOff>181666</xdr:rowOff>
    </xdr:to>
    <xdr:sp macro="" textlink="">
      <xdr:nvSpPr>
        <xdr:cNvPr id="105" name="타원 104">
          <a:extLst>
            <a:ext uri="{FF2B5EF4-FFF2-40B4-BE49-F238E27FC236}">
              <a16:creationId xmlns:a16="http://schemas.microsoft.com/office/drawing/2014/main" id="{E2EF5547-AD27-4B7D-BF88-817207592382}"/>
            </a:ext>
          </a:extLst>
        </xdr:cNvPr>
        <xdr:cNvSpPr/>
      </xdr:nvSpPr>
      <xdr:spPr>
        <a:xfrm>
          <a:off x="10936361" y="15424206"/>
          <a:ext cx="436494" cy="45466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12</a:t>
          </a:r>
          <a:endParaRPr lang="ko-KR" altLang="en-US" sz="1100"/>
        </a:p>
      </xdr:txBody>
    </xdr:sp>
    <xdr:clientData/>
  </xdr:twoCellAnchor>
  <xdr:twoCellAnchor>
    <xdr:from>
      <xdr:col>12</xdr:col>
      <xdr:colOff>99392</xdr:colOff>
      <xdr:row>81</xdr:row>
      <xdr:rowOff>21673</xdr:rowOff>
    </xdr:from>
    <xdr:to>
      <xdr:col>17</xdr:col>
      <xdr:colOff>201959</xdr:colOff>
      <xdr:row>84</xdr:row>
      <xdr:rowOff>66260</xdr:rowOff>
    </xdr:to>
    <xdr:sp macro="" textlink="">
      <xdr:nvSpPr>
        <xdr:cNvPr id="106" name="아래쪽 화살표 설명선 141">
          <a:extLst>
            <a:ext uri="{FF2B5EF4-FFF2-40B4-BE49-F238E27FC236}">
              <a16:creationId xmlns:a16="http://schemas.microsoft.com/office/drawing/2014/main" id="{9888C3D6-10AF-4D2B-9D8C-1BB94DBC4BA2}"/>
            </a:ext>
          </a:extLst>
        </xdr:cNvPr>
        <xdr:cNvSpPr/>
      </xdr:nvSpPr>
      <xdr:spPr>
        <a:xfrm>
          <a:off x="3703652" y="17928673"/>
          <a:ext cx="1489407" cy="707527"/>
        </a:xfrm>
        <a:prstGeom prst="downArrow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시작 노드</a:t>
          </a:r>
        </a:p>
      </xdr:txBody>
    </xdr:sp>
    <xdr:clientData/>
  </xdr:twoCellAnchor>
  <xdr:twoCellAnchor>
    <xdr:from>
      <xdr:col>10</xdr:col>
      <xdr:colOff>140804</xdr:colOff>
      <xdr:row>62</xdr:row>
      <xdr:rowOff>91109</xdr:rowOff>
    </xdr:from>
    <xdr:to>
      <xdr:col>30</xdr:col>
      <xdr:colOff>66261</xdr:colOff>
      <xdr:row>65</xdr:row>
      <xdr:rowOff>157370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46CABA88-BB9B-43D3-BA6C-C879CDFC5AAC}"/>
            </a:ext>
          </a:extLst>
        </xdr:cNvPr>
        <xdr:cNvSpPr txBox="1"/>
      </xdr:nvSpPr>
      <xdr:spPr>
        <a:xfrm>
          <a:off x="3211664" y="13799489"/>
          <a:ext cx="5312797" cy="7292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이전까지 최소 색바꿈 수가 </a:t>
          </a:r>
          <a:r>
            <a:rPr lang="en-US" altLang="ko-KR" sz="1100"/>
            <a:t>ans =7</a:t>
          </a:r>
          <a:r>
            <a:rPr lang="ko-KR" altLang="en-US" sz="1100"/>
            <a:t>인 상태에서</a:t>
          </a:r>
          <a:endParaRPr lang="en-US" altLang="ko-KR" sz="1100"/>
        </a:p>
        <a:p>
          <a:r>
            <a:rPr lang="en-US" altLang="ko-KR" sz="1100"/>
            <a:t>BFS</a:t>
          </a:r>
          <a:r>
            <a:rPr lang="en-US" altLang="ko-KR" sz="1100" baseline="0"/>
            <a:t> </a:t>
          </a:r>
          <a:r>
            <a:rPr lang="ko-KR" altLang="en-US" sz="1100" baseline="0"/>
            <a:t>결과가 다음과 같을때</a:t>
          </a:r>
          <a:r>
            <a:rPr lang="en-US" altLang="ko-KR" sz="1100" baseline="0"/>
            <a:t> </a:t>
          </a:r>
          <a:r>
            <a:rPr lang="ko-KR" altLang="en-US" sz="1100" b="1" u="sng" baseline="0"/>
            <a:t>시작노드 후보로 고려할 필요가 없는 노드</a:t>
          </a:r>
          <a:r>
            <a:rPr lang="ko-KR" altLang="en-US" sz="1100" baseline="0"/>
            <a:t>가 생긴다</a:t>
          </a:r>
          <a:r>
            <a:rPr lang="en-US" altLang="ko-KR" sz="1100" baseline="0"/>
            <a:t>.</a:t>
          </a:r>
          <a:endParaRPr lang="ko-KR" altLang="en-US" sz="1100"/>
        </a:p>
      </xdr:txBody>
    </xdr:sp>
    <xdr:clientData/>
  </xdr:twoCellAnchor>
  <xdr:twoCellAnchor>
    <xdr:from>
      <xdr:col>50</xdr:col>
      <xdr:colOff>87097</xdr:colOff>
      <xdr:row>15</xdr:row>
      <xdr:rowOff>121186</xdr:rowOff>
    </xdr:from>
    <xdr:to>
      <xdr:col>59</xdr:col>
      <xdr:colOff>104874</xdr:colOff>
      <xdr:row>23</xdr:row>
      <xdr:rowOff>108171</xdr:rowOff>
    </xdr:to>
    <xdr:grpSp>
      <xdr:nvGrpSpPr>
        <xdr:cNvPr id="109" name="그룹 108">
          <a:extLst>
            <a:ext uri="{FF2B5EF4-FFF2-40B4-BE49-F238E27FC236}">
              <a16:creationId xmlns:a16="http://schemas.microsoft.com/office/drawing/2014/main" id="{53AFF610-C649-4F8A-92B1-14B2FAEDD729}"/>
            </a:ext>
          </a:extLst>
        </xdr:cNvPr>
        <xdr:cNvGrpSpPr/>
      </xdr:nvGrpSpPr>
      <xdr:grpSpPr>
        <a:xfrm>
          <a:off x="13796471" y="3414351"/>
          <a:ext cx="2403168" cy="1736272"/>
          <a:chOff x="3790950" y="1943100"/>
          <a:chExt cx="2428875" cy="1657350"/>
        </a:xfrm>
      </xdr:grpSpPr>
      <xdr:sp macro="" textlink="">
        <xdr:nvSpPr>
          <xdr:cNvPr id="110" name="타원 109">
            <a:extLst>
              <a:ext uri="{FF2B5EF4-FFF2-40B4-BE49-F238E27FC236}">
                <a16:creationId xmlns:a16="http://schemas.microsoft.com/office/drawing/2014/main" id="{55DF4488-576A-45F1-D5D6-103AACA6E2F3}"/>
              </a:ext>
            </a:extLst>
          </xdr:cNvPr>
          <xdr:cNvSpPr/>
        </xdr:nvSpPr>
        <xdr:spPr>
          <a:xfrm>
            <a:off x="4429125" y="1943100"/>
            <a:ext cx="438150" cy="438150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7</a:t>
            </a:r>
            <a:endParaRPr lang="ko-KR" altLang="en-US" sz="1100"/>
          </a:p>
        </xdr:txBody>
      </xdr:sp>
      <xdr:sp macro="" textlink="">
        <xdr:nvSpPr>
          <xdr:cNvPr id="111" name="타원 110">
            <a:extLst>
              <a:ext uri="{FF2B5EF4-FFF2-40B4-BE49-F238E27FC236}">
                <a16:creationId xmlns:a16="http://schemas.microsoft.com/office/drawing/2014/main" id="{4302D13F-43EC-FEE2-6E0E-3F4A2CB4C848}"/>
              </a:ext>
            </a:extLst>
          </xdr:cNvPr>
          <xdr:cNvSpPr/>
        </xdr:nvSpPr>
        <xdr:spPr>
          <a:xfrm>
            <a:off x="4429125" y="2533650"/>
            <a:ext cx="438150" cy="438150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9</a:t>
            </a:r>
            <a:endParaRPr lang="ko-KR" altLang="en-US" sz="1100"/>
          </a:p>
        </xdr:txBody>
      </xdr:sp>
      <xdr:sp macro="" textlink="">
        <xdr:nvSpPr>
          <xdr:cNvPr id="112" name="타원 111">
            <a:extLst>
              <a:ext uri="{FF2B5EF4-FFF2-40B4-BE49-F238E27FC236}">
                <a16:creationId xmlns:a16="http://schemas.microsoft.com/office/drawing/2014/main" id="{1660211E-A28F-D27F-0755-4EF576A9825E}"/>
              </a:ext>
            </a:extLst>
          </xdr:cNvPr>
          <xdr:cNvSpPr/>
        </xdr:nvSpPr>
        <xdr:spPr>
          <a:xfrm>
            <a:off x="5067300" y="2533650"/>
            <a:ext cx="438150" cy="438150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3</a:t>
            </a:r>
            <a:endParaRPr lang="ko-KR" altLang="en-US" sz="1100"/>
          </a:p>
        </xdr:txBody>
      </xdr:sp>
      <xdr:sp macro="" textlink="">
        <xdr:nvSpPr>
          <xdr:cNvPr id="113" name="타원 112">
            <a:extLst>
              <a:ext uri="{FF2B5EF4-FFF2-40B4-BE49-F238E27FC236}">
                <a16:creationId xmlns:a16="http://schemas.microsoft.com/office/drawing/2014/main" id="{F75C19D5-1F71-FEED-730A-9EA9637CDA48}"/>
              </a:ext>
            </a:extLst>
          </xdr:cNvPr>
          <xdr:cNvSpPr/>
        </xdr:nvSpPr>
        <xdr:spPr>
          <a:xfrm>
            <a:off x="5781675" y="2533650"/>
            <a:ext cx="438150" cy="438150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4</a:t>
            </a:r>
            <a:endParaRPr lang="ko-KR" altLang="en-US" sz="1100"/>
          </a:p>
        </xdr:txBody>
      </xdr:sp>
      <xdr:sp macro="" textlink="">
        <xdr:nvSpPr>
          <xdr:cNvPr id="114" name="타원 113">
            <a:extLst>
              <a:ext uri="{FF2B5EF4-FFF2-40B4-BE49-F238E27FC236}">
                <a16:creationId xmlns:a16="http://schemas.microsoft.com/office/drawing/2014/main" id="{322A21AA-69CB-8314-01C5-BBD61FEE6DD3}"/>
              </a:ext>
            </a:extLst>
          </xdr:cNvPr>
          <xdr:cNvSpPr/>
        </xdr:nvSpPr>
        <xdr:spPr>
          <a:xfrm>
            <a:off x="3790950" y="2533650"/>
            <a:ext cx="438150" cy="438150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5</a:t>
            </a:r>
            <a:endParaRPr lang="ko-KR" altLang="en-US" sz="1100"/>
          </a:p>
        </xdr:txBody>
      </xdr:sp>
      <xdr:sp macro="" textlink="">
        <xdr:nvSpPr>
          <xdr:cNvPr id="115" name="타원 114">
            <a:extLst>
              <a:ext uri="{FF2B5EF4-FFF2-40B4-BE49-F238E27FC236}">
                <a16:creationId xmlns:a16="http://schemas.microsoft.com/office/drawing/2014/main" id="{9FE86529-89CF-EA1F-5F83-C2EAC08079B5}"/>
              </a:ext>
            </a:extLst>
          </xdr:cNvPr>
          <xdr:cNvSpPr/>
        </xdr:nvSpPr>
        <xdr:spPr>
          <a:xfrm>
            <a:off x="4429125" y="3162300"/>
            <a:ext cx="438150" cy="438150"/>
          </a:xfrm>
          <a:prstGeom prst="ellipse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6</a:t>
            </a:r>
            <a:endParaRPr lang="ko-KR" altLang="en-US" sz="1100"/>
          </a:p>
        </xdr:txBody>
      </xdr:sp>
      <xdr:cxnSp macro="">
        <xdr:nvCxnSpPr>
          <xdr:cNvPr id="116" name="직선 연결선 115">
            <a:extLst>
              <a:ext uri="{FF2B5EF4-FFF2-40B4-BE49-F238E27FC236}">
                <a16:creationId xmlns:a16="http://schemas.microsoft.com/office/drawing/2014/main" id="{0910D1D4-8A13-8B95-7040-DBE92619A2C8}"/>
              </a:ext>
            </a:extLst>
          </xdr:cNvPr>
          <xdr:cNvCxnSpPr>
            <a:stCxn id="110" idx="4"/>
            <a:endCxn id="111" idx="0"/>
          </xdr:cNvCxnSpPr>
        </xdr:nvCxnSpPr>
        <xdr:spPr>
          <a:xfrm>
            <a:off x="4648200" y="2381250"/>
            <a:ext cx="0" cy="15240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7" name="직선 연결선 116">
            <a:extLst>
              <a:ext uri="{FF2B5EF4-FFF2-40B4-BE49-F238E27FC236}">
                <a16:creationId xmlns:a16="http://schemas.microsoft.com/office/drawing/2014/main" id="{4C5F346F-C833-77D1-1398-D5AF54282F77}"/>
              </a:ext>
            </a:extLst>
          </xdr:cNvPr>
          <xdr:cNvCxnSpPr>
            <a:stCxn id="111" idx="2"/>
            <a:endCxn id="114" idx="6"/>
          </xdr:cNvCxnSpPr>
        </xdr:nvCxnSpPr>
        <xdr:spPr>
          <a:xfrm flipH="1">
            <a:off x="4229100" y="2752725"/>
            <a:ext cx="200025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8" name="직선 연결선 117">
            <a:extLst>
              <a:ext uri="{FF2B5EF4-FFF2-40B4-BE49-F238E27FC236}">
                <a16:creationId xmlns:a16="http://schemas.microsoft.com/office/drawing/2014/main" id="{9C02AAFE-51C0-9EA5-6EC3-AF08598427EE}"/>
              </a:ext>
            </a:extLst>
          </xdr:cNvPr>
          <xdr:cNvCxnSpPr>
            <a:stCxn id="111" idx="6"/>
            <a:endCxn id="112" idx="2"/>
          </xdr:cNvCxnSpPr>
        </xdr:nvCxnSpPr>
        <xdr:spPr>
          <a:xfrm>
            <a:off x="4867275" y="2752725"/>
            <a:ext cx="200025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9" name="직선 연결선 118">
            <a:extLst>
              <a:ext uri="{FF2B5EF4-FFF2-40B4-BE49-F238E27FC236}">
                <a16:creationId xmlns:a16="http://schemas.microsoft.com/office/drawing/2014/main" id="{ED50155A-7913-7EF5-8D0D-29AF60FCB03D}"/>
              </a:ext>
            </a:extLst>
          </xdr:cNvPr>
          <xdr:cNvCxnSpPr>
            <a:stCxn id="112" idx="6"/>
            <a:endCxn id="113" idx="2"/>
          </xdr:cNvCxnSpPr>
        </xdr:nvCxnSpPr>
        <xdr:spPr>
          <a:xfrm>
            <a:off x="5505450" y="2752725"/>
            <a:ext cx="276225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0" name="직선 연결선 119">
            <a:extLst>
              <a:ext uri="{FF2B5EF4-FFF2-40B4-BE49-F238E27FC236}">
                <a16:creationId xmlns:a16="http://schemas.microsoft.com/office/drawing/2014/main" id="{9242EFD1-C4BD-280B-8B45-D8E7A1DEFC06}"/>
              </a:ext>
            </a:extLst>
          </xdr:cNvPr>
          <xdr:cNvCxnSpPr>
            <a:stCxn id="111" idx="4"/>
            <a:endCxn id="115" idx="0"/>
          </xdr:cNvCxnSpPr>
        </xdr:nvCxnSpPr>
        <xdr:spPr>
          <a:xfrm>
            <a:off x="4648200" y="2971800"/>
            <a:ext cx="0" cy="19050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250911</xdr:colOff>
      <xdr:row>78</xdr:row>
      <xdr:rowOff>77857</xdr:rowOff>
    </xdr:from>
    <xdr:to>
      <xdr:col>6</xdr:col>
      <xdr:colOff>155660</xdr:colOff>
      <xdr:row>80</xdr:row>
      <xdr:rowOff>90557</xdr:rowOff>
    </xdr:to>
    <xdr:sp macro="" textlink="">
      <xdr:nvSpPr>
        <xdr:cNvPr id="122" name="타원 121">
          <a:extLst>
            <a:ext uri="{FF2B5EF4-FFF2-40B4-BE49-F238E27FC236}">
              <a16:creationId xmlns:a16="http://schemas.microsoft.com/office/drawing/2014/main" id="{FD1E6B12-3593-42CA-8F09-24882EAAAF8F}"/>
            </a:ext>
          </a:extLst>
        </xdr:cNvPr>
        <xdr:cNvSpPr/>
      </xdr:nvSpPr>
      <xdr:spPr>
        <a:xfrm>
          <a:off x="1721571" y="17321917"/>
          <a:ext cx="438149" cy="45466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1</a:t>
          </a:r>
          <a:endParaRPr lang="ko-KR" altLang="en-US" sz="1100"/>
        </a:p>
      </xdr:txBody>
    </xdr:sp>
    <xdr:clientData/>
  </xdr:twoCellAnchor>
  <xdr:twoCellAnchor>
    <xdr:from>
      <xdr:col>7</xdr:col>
      <xdr:colOff>78485</xdr:colOff>
      <xdr:row>78</xdr:row>
      <xdr:rowOff>94752</xdr:rowOff>
    </xdr:from>
    <xdr:to>
      <xdr:col>8</xdr:col>
      <xdr:colOff>248278</xdr:colOff>
      <xdr:row>80</xdr:row>
      <xdr:rowOff>110318</xdr:rowOff>
    </xdr:to>
    <xdr:sp macro="" textlink="">
      <xdr:nvSpPr>
        <xdr:cNvPr id="123" name="타원 122">
          <a:extLst>
            <a:ext uri="{FF2B5EF4-FFF2-40B4-BE49-F238E27FC236}">
              <a16:creationId xmlns:a16="http://schemas.microsoft.com/office/drawing/2014/main" id="{13F2589C-D443-4B7F-A7D4-63D25D701962}"/>
            </a:ext>
          </a:extLst>
        </xdr:cNvPr>
        <xdr:cNvSpPr/>
      </xdr:nvSpPr>
      <xdr:spPr>
        <a:xfrm>
          <a:off x="2349245" y="17338812"/>
          <a:ext cx="436493" cy="457526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2</a:t>
          </a:r>
          <a:endParaRPr lang="ko-KR" altLang="en-US" sz="1100"/>
        </a:p>
      </xdr:txBody>
    </xdr:sp>
    <xdr:clientData/>
  </xdr:twoCellAnchor>
  <xdr:twoCellAnchor>
    <xdr:from>
      <xdr:col>51</xdr:col>
      <xdr:colOff>227651</xdr:colOff>
      <xdr:row>17</xdr:row>
      <xdr:rowOff>76476</xdr:rowOff>
    </xdr:from>
    <xdr:to>
      <xdr:col>54</xdr:col>
      <xdr:colOff>28175</xdr:colOff>
      <xdr:row>19</xdr:row>
      <xdr:rowOff>76475</xdr:rowOff>
    </xdr:to>
    <xdr:sp macro="" textlink="">
      <xdr:nvSpPr>
        <xdr:cNvPr id="124" name="설명선: 아래쪽 화살표 123">
          <a:extLst>
            <a:ext uri="{FF2B5EF4-FFF2-40B4-BE49-F238E27FC236}">
              <a16:creationId xmlns:a16="http://schemas.microsoft.com/office/drawing/2014/main" id="{DAAF6AE9-9891-4A7C-9586-896054047D17}"/>
            </a:ext>
          </a:extLst>
        </xdr:cNvPr>
        <xdr:cNvSpPr/>
      </xdr:nvSpPr>
      <xdr:spPr>
        <a:xfrm>
          <a:off x="14569580" y="3791226"/>
          <a:ext cx="616952" cy="435428"/>
        </a:xfrm>
        <a:prstGeom prst="downArrowCallou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s</a:t>
          </a:r>
          <a:endParaRPr lang="ko-KR" altLang="en-US" sz="1100"/>
        </a:p>
      </xdr:txBody>
    </xdr:sp>
    <xdr:clientData/>
  </xdr:twoCellAnchor>
  <xdr:twoCellAnchor>
    <xdr:from>
      <xdr:col>52</xdr:col>
      <xdr:colOff>97247</xdr:colOff>
      <xdr:row>22</xdr:row>
      <xdr:rowOff>201848</xdr:rowOff>
    </xdr:from>
    <xdr:to>
      <xdr:col>55</xdr:col>
      <xdr:colOff>10748</xdr:colOff>
      <xdr:row>24</xdr:row>
      <xdr:rowOff>136178</xdr:rowOff>
    </xdr:to>
    <xdr:sp macro="" textlink="">
      <xdr:nvSpPr>
        <xdr:cNvPr id="125" name="설명선: 위쪽 화살표 124">
          <a:extLst>
            <a:ext uri="{FF2B5EF4-FFF2-40B4-BE49-F238E27FC236}">
              <a16:creationId xmlns:a16="http://schemas.microsoft.com/office/drawing/2014/main" id="{F49AC026-87D2-4DED-820B-9AB8486306D4}"/>
            </a:ext>
          </a:extLst>
        </xdr:cNvPr>
        <xdr:cNvSpPr/>
      </xdr:nvSpPr>
      <xdr:spPr>
        <a:xfrm>
          <a:off x="14711318" y="5005169"/>
          <a:ext cx="729930" cy="369759"/>
        </a:xfrm>
        <a:prstGeom prst="upArrow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e</a:t>
          </a:r>
          <a:endParaRPr lang="ko-KR" altLang="en-US" sz="1100"/>
        </a:p>
      </xdr:txBody>
    </xdr:sp>
    <xdr:clientData/>
  </xdr:twoCellAnchor>
  <xdr:twoCellAnchor>
    <xdr:from>
      <xdr:col>10</xdr:col>
      <xdr:colOff>105328</xdr:colOff>
      <xdr:row>70</xdr:row>
      <xdr:rowOff>175317</xdr:rowOff>
    </xdr:from>
    <xdr:to>
      <xdr:col>11</xdr:col>
      <xdr:colOff>181730</xdr:colOff>
      <xdr:row>70</xdr:row>
      <xdr:rowOff>184231</xdr:rowOff>
    </xdr:to>
    <xdr:cxnSp macro="">
      <xdr:nvCxnSpPr>
        <xdr:cNvPr id="126" name="직선 연결선 125">
          <a:extLst>
            <a:ext uri="{FF2B5EF4-FFF2-40B4-BE49-F238E27FC236}">
              <a16:creationId xmlns:a16="http://schemas.microsoft.com/office/drawing/2014/main" id="{5020B6DC-D17E-4AC6-A936-C5C273B38256}"/>
            </a:ext>
          </a:extLst>
        </xdr:cNvPr>
        <xdr:cNvCxnSpPr>
          <a:stCxn id="2" idx="6"/>
          <a:endCxn id="95" idx="2"/>
        </xdr:cNvCxnSpPr>
      </xdr:nvCxnSpPr>
      <xdr:spPr>
        <a:xfrm>
          <a:off x="3176188" y="15651537"/>
          <a:ext cx="343102" cy="891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86480</xdr:colOff>
      <xdr:row>70</xdr:row>
      <xdr:rowOff>175317</xdr:rowOff>
    </xdr:from>
    <xdr:to>
      <xdr:col>14</xdr:col>
      <xdr:colOff>87659</xdr:colOff>
      <xdr:row>70</xdr:row>
      <xdr:rowOff>184231</xdr:rowOff>
    </xdr:to>
    <xdr:cxnSp macro="">
      <xdr:nvCxnSpPr>
        <xdr:cNvPr id="127" name="직선 연결선 126">
          <a:extLst>
            <a:ext uri="{FF2B5EF4-FFF2-40B4-BE49-F238E27FC236}">
              <a16:creationId xmlns:a16="http://schemas.microsoft.com/office/drawing/2014/main" id="{37355C80-6A36-457B-A31F-3666DAA6D8F1}"/>
            </a:ext>
          </a:extLst>
        </xdr:cNvPr>
        <xdr:cNvCxnSpPr>
          <a:stCxn id="95" idx="6"/>
          <a:endCxn id="96" idx="2"/>
        </xdr:cNvCxnSpPr>
      </xdr:nvCxnSpPr>
      <xdr:spPr>
        <a:xfrm flipV="1">
          <a:off x="3957440" y="15651537"/>
          <a:ext cx="321219" cy="891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257453</xdr:colOff>
      <xdr:row>70</xdr:row>
      <xdr:rowOff>175317</xdr:rowOff>
    </xdr:from>
    <xdr:to>
      <xdr:col>17</xdr:col>
      <xdr:colOff>28025</xdr:colOff>
      <xdr:row>70</xdr:row>
      <xdr:rowOff>175317</xdr:rowOff>
    </xdr:to>
    <xdr:cxnSp macro="">
      <xdr:nvCxnSpPr>
        <xdr:cNvPr id="128" name="직선 연결선 127">
          <a:extLst>
            <a:ext uri="{FF2B5EF4-FFF2-40B4-BE49-F238E27FC236}">
              <a16:creationId xmlns:a16="http://schemas.microsoft.com/office/drawing/2014/main" id="{5A5F4E18-A021-4D67-89F7-7B738E9B2A55}"/>
            </a:ext>
          </a:extLst>
        </xdr:cNvPr>
        <xdr:cNvCxnSpPr>
          <a:stCxn id="96" idx="6"/>
          <a:endCxn id="97" idx="2"/>
        </xdr:cNvCxnSpPr>
      </xdr:nvCxnSpPr>
      <xdr:spPr>
        <a:xfrm>
          <a:off x="4715153" y="15651537"/>
          <a:ext cx="30397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197818</xdr:colOff>
      <xdr:row>70</xdr:row>
      <xdr:rowOff>175317</xdr:rowOff>
    </xdr:from>
    <xdr:to>
      <xdr:col>19</xdr:col>
      <xdr:colOff>230259</xdr:colOff>
      <xdr:row>70</xdr:row>
      <xdr:rowOff>175317</xdr:rowOff>
    </xdr:to>
    <xdr:cxnSp macro="">
      <xdr:nvCxnSpPr>
        <xdr:cNvPr id="129" name="직선 연결선 128">
          <a:extLst>
            <a:ext uri="{FF2B5EF4-FFF2-40B4-BE49-F238E27FC236}">
              <a16:creationId xmlns:a16="http://schemas.microsoft.com/office/drawing/2014/main" id="{0DE17EDB-A3C7-4478-BB03-11A355435E58}"/>
            </a:ext>
          </a:extLst>
        </xdr:cNvPr>
        <xdr:cNvCxnSpPr>
          <a:stCxn id="97" idx="6"/>
          <a:endCxn id="98" idx="2"/>
        </xdr:cNvCxnSpPr>
      </xdr:nvCxnSpPr>
      <xdr:spPr>
        <a:xfrm>
          <a:off x="5455618" y="15651537"/>
          <a:ext cx="29914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135009</xdr:colOff>
      <xdr:row>70</xdr:row>
      <xdr:rowOff>175317</xdr:rowOff>
    </xdr:from>
    <xdr:to>
      <xdr:col>22</xdr:col>
      <xdr:colOff>170624</xdr:colOff>
      <xdr:row>70</xdr:row>
      <xdr:rowOff>175317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B2F75512-57D8-4DE2-A325-40CF579A9585}"/>
            </a:ext>
          </a:extLst>
        </xdr:cNvPr>
        <xdr:cNvCxnSpPr>
          <a:stCxn id="98" idx="6"/>
          <a:endCxn id="99" idx="2"/>
        </xdr:cNvCxnSpPr>
      </xdr:nvCxnSpPr>
      <xdr:spPr>
        <a:xfrm>
          <a:off x="6192909" y="15651537"/>
          <a:ext cx="3023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75375</xdr:colOff>
      <xdr:row>70</xdr:row>
      <xdr:rowOff>175317</xdr:rowOff>
    </xdr:from>
    <xdr:to>
      <xdr:col>25</xdr:col>
      <xdr:colOff>107815</xdr:colOff>
      <xdr:row>70</xdr:row>
      <xdr:rowOff>175317</xdr:rowOff>
    </xdr:to>
    <xdr:cxnSp macro="">
      <xdr:nvCxnSpPr>
        <xdr:cNvPr id="131" name="직선 연결선 130">
          <a:extLst>
            <a:ext uri="{FF2B5EF4-FFF2-40B4-BE49-F238E27FC236}">
              <a16:creationId xmlns:a16="http://schemas.microsoft.com/office/drawing/2014/main" id="{9ABAED09-8681-431F-9B3D-D1590F3B2194}"/>
            </a:ext>
          </a:extLst>
        </xdr:cNvPr>
        <xdr:cNvCxnSpPr>
          <a:stCxn id="99" idx="6"/>
          <a:endCxn id="100" idx="2"/>
        </xdr:cNvCxnSpPr>
      </xdr:nvCxnSpPr>
      <xdr:spPr>
        <a:xfrm>
          <a:off x="6933375" y="15651537"/>
          <a:ext cx="29914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12565</xdr:colOff>
      <xdr:row>70</xdr:row>
      <xdr:rowOff>173729</xdr:rowOff>
    </xdr:from>
    <xdr:to>
      <xdr:col>28</xdr:col>
      <xdr:colOff>45006</xdr:colOff>
      <xdr:row>70</xdr:row>
      <xdr:rowOff>175317</xdr:rowOff>
    </xdr:to>
    <xdr:cxnSp macro="">
      <xdr:nvCxnSpPr>
        <xdr:cNvPr id="132" name="직선 연결선 131">
          <a:extLst>
            <a:ext uri="{FF2B5EF4-FFF2-40B4-BE49-F238E27FC236}">
              <a16:creationId xmlns:a16="http://schemas.microsoft.com/office/drawing/2014/main" id="{654632FD-9166-4561-93FF-97A18A3F6832}"/>
            </a:ext>
          </a:extLst>
        </xdr:cNvPr>
        <xdr:cNvCxnSpPr>
          <a:stCxn id="100" idx="6"/>
          <a:endCxn id="101" idx="2"/>
        </xdr:cNvCxnSpPr>
      </xdr:nvCxnSpPr>
      <xdr:spPr>
        <a:xfrm flipV="1">
          <a:off x="7670665" y="15649949"/>
          <a:ext cx="299141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221149</xdr:colOff>
      <xdr:row>70</xdr:row>
      <xdr:rowOff>173729</xdr:rowOff>
    </xdr:from>
    <xdr:to>
      <xdr:col>30</xdr:col>
      <xdr:colOff>205154</xdr:colOff>
      <xdr:row>70</xdr:row>
      <xdr:rowOff>190500</xdr:rowOff>
    </xdr:to>
    <xdr:cxnSp macro="">
      <xdr:nvCxnSpPr>
        <xdr:cNvPr id="133" name="직선 연결선 132">
          <a:extLst>
            <a:ext uri="{FF2B5EF4-FFF2-40B4-BE49-F238E27FC236}">
              <a16:creationId xmlns:a16="http://schemas.microsoft.com/office/drawing/2014/main" id="{84E7916F-BFE2-4A67-A4E3-FD92683D83D6}"/>
            </a:ext>
          </a:extLst>
        </xdr:cNvPr>
        <xdr:cNvCxnSpPr>
          <a:stCxn id="101" idx="6"/>
          <a:endCxn id="102" idx="2"/>
        </xdr:cNvCxnSpPr>
      </xdr:nvCxnSpPr>
      <xdr:spPr>
        <a:xfrm>
          <a:off x="8412649" y="15649949"/>
          <a:ext cx="250705" cy="167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161515</xdr:colOff>
      <xdr:row>70</xdr:row>
      <xdr:rowOff>173729</xdr:rowOff>
    </xdr:from>
    <xdr:to>
      <xdr:col>33</xdr:col>
      <xdr:colOff>197130</xdr:colOff>
      <xdr:row>70</xdr:row>
      <xdr:rowOff>173729</xdr:rowOff>
    </xdr:to>
    <xdr:cxnSp macro="">
      <xdr:nvCxnSpPr>
        <xdr:cNvPr id="134" name="직선 연결선 133">
          <a:extLst>
            <a:ext uri="{FF2B5EF4-FFF2-40B4-BE49-F238E27FC236}">
              <a16:creationId xmlns:a16="http://schemas.microsoft.com/office/drawing/2014/main" id="{D2C56B71-EF4B-40F1-9EF0-504549FB2F8F}"/>
            </a:ext>
          </a:extLst>
        </xdr:cNvPr>
        <xdr:cNvCxnSpPr>
          <a:stCxn id="102" idx="6"/>
          <a:endCxn id="103" idx="2"/>
        </xdr:cNvCxnSpPr>
      </xdr:nvCxnSpPr>
      <xdr:spPr>
        <a:xfrm>
          <a:off x="9153115" y="15649949"/>
          <a:ext cx="3023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101880</xdr:colOff>
      <xdr:row>70</xdr:row>
      <xdr:rowOff>173729</xdr:rowOff>
    </xdr:from>
    <xdr:to>
      <xdr:col>36</xdr:col>
      <xdr:colOff>143846</xdr:colOff>
      <xdr:row>70</xdr:row>
      <xdr:rowOff>173729</xdr:rowOff>
    </xdr:to>
    <xdr:cxnSp macro="">
      <xdr:nvCxnSpPr>
        <xdr:cNvPr id="135" name="직선 연결선 134">
          <a:extLst>
            <a:ext uri="{FF2B5EF4-FFF2-40B4-BE49-F238E27FC236}">
              <a16:creationId xmlns:a16="http://schemas.microsoft.com/office/drawing/2014/main" id="{CA353235-9AD8-4136-814E-8629823555A9}"/>
            </a:ext>
          </a:extLst>
        </xdr:cNvPr>
        <xdr:cNvCxnSpPr>
          <a:stCxn id="103" idx="6"/>
          <a:endCxn id="104" idx="2"/>
        </xdr:cNvCxnSpPr>
      </xdr:nvCxnSpPr>
      <xdr:spPr>
        <a:xfrm>
          <a:off x="9893580" y="15649949"/>
          <a:ext cx="30866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48596</xdr:colOff>
      <xdr:row>70</xdr:row>
      <xdr:rowOff>173729</xdr:rowOff>
    </xdr:from>
    <xdr:to>
      <xdr:col>39</xdr:col>
      <xdr:colOff>77861</xdr:colOff>
      <xdr:row>70</xdr:row>
      <xdr:rowOff>173729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id="{D1EE511A-FBB6-4F2A-836E-2835432FB12D}"/>
            </a:ext>
          </a:extLst>
        </xdr:cNvPr>
        <xdr:cNvCxnSpPr>
          <a:stCxn id="104" idx="6"/>
          <a:endCxn id="105" idx="2"/>
        </xdr:cNvCxnSpPr>
      </xdr:nvCxnSpPr>
      <xdr:spPr>
        <a:xfrm>
          <a:off x="10640396" y="15649949"/>
          <a:ext cx="2959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137101</xdr:colOff>
      <xdr:row>73</xdr:row>
      <xdr:rowOff>6829</xdr:rowOff>
    </xdr:from>
    <xdr:to>
      <xdr:col>18</xdr:col>
      <xdr:colOff>43124</xdr:colOff>
      <xdr:row>75</xdr:row>
      <xdr:rowOff>19220</xdr:rowOff>
    </xdr:to>
    <xdr:sp macro="" textlink="">
      <xdr:nvSpPr>
        <xdr:cNvPr id="137" name="타원 136">
          <a:extLst>
            <a:ext uri="{FF2B5EF4-FFF2-40B4-BE49-F238E27FC236}">
              <a16:creationId xmlns:a16="http://schemas.microsoft.com/office/drawing/2014/main" id="{DB64D1D9-D123-4F7D-8CC0-DAF2AC8167BA}"/>
            </a:ext>
          </a:extLst>
        </xdr:cNvPr>
        <xdr:cNvSpPr/>
      </xdr:nvSpPr>
      <xdr:spPr>
        <a:xfrm>
          <a:off x="4861501" y="16145989"/>
          <a:ext cx="439423" cy="454351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13</a:t>
          </a:r>
          <a:endParaRPr lang="ko-KR" altLang="en-US" sz="1100"/>
        </a:p>
      </xdr:txBody>
    </xdr:sp>
    <xdr:clientData/>
  </xdr:twoCellAnchor>
  <xdr:twoCellAnchor>
    <xdr:from>
      <xdr:col>15</xdr:col>
      <xdr:colOff>40672</xdr:colOff>
      <xdr:row>71</xdr:row>
      <xdr:rowOff>181666</xdr:rowOff>
    </xdr:from>
    <xdr:to>
      <xdr:col>16</xdr:col>
      <xdr:colOff>203770</xdr:colOff>
      <xdr:row>73</xdr:row>
      <xdr:rowOff>75734</xdr:rowOff>
    </xdr:to>
    <xdr:cxnSp macro="">
      <xdr:nvCxnSpPr>
        <xdr:cNvPr id="138" name="직선 연결선 137">
          <a:extLst>
            <a:ext uri="{FF2B5EF4-FFF2-40B4-BE49-F238E27FC236}">
              <a16:creationId xmlns:a16="http://schemas.microsoft.com/office/drawing/2014/main" id="{D8D63ED2-6781-4F9A-9457-957765222335}"/>
            </a:ext>
          </a:extLst>
        </xdr:cNvPr>
        <xdr:cNvCxnSpPr>
          <a:stCxn id="96" idx="4"/>
          <a:endCxn id="137" idx="1"/>
        </xdr:cNvCxnSpPr>
      </xdr:nvCxnSpPr>
      <xdr:spPr>
        <a:xfrm>
          <a:off x="4498372" y="15878866"/>
          <a:ext cx="429798" cy="33602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180816</xdr:colOff>
      <xdr:row>75</xdr:row>
      <xdr:rowOff>52701</xdr:rowOff>
    </xdr:from>
    <xdr:to>
      <xdr:col>20</xdr:col>
      <xdr:colOff>85566</xdr:colOff>
      <xdr:row>77</xdr:row>
      <xdr:rowOff>65401</xdr:rowOff>
    </xdr:to>
    <xdr:sp macro="" textlink="">
      <xdr:nvSpPr>
        <xdr:cNvPr id="139" name="타원 138">
          <a:extLst>
            <a:ext uri="{FF2B5EF4-FFF2-40B4-BE49-F238E27FC236}">
              <a16:creationId xmlns:a16="http://schemas.microsoft.com/office/drawing/2014/main" id="{6453E7FF-404F-4238-BCD0-66B59BD359D8}"/>
            </a:ext>
          </a:extLst>
        </xdr:cNvPr>
        <xdr:cNvSpPr/>
      </xdr:nvSpPr>
      <xdr:spPr>
        <a:xfrm>
          <a:off x="5438616" y="16633821"/>
          <a:ext cx="438150" cy="45466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14</a:t>
          </a:r>
          <a:endParaRPr lang="ko-KR" altLang="en-US" sz="1100"/>
        </a:p>
      </xdr:txBody>
    </xdr:sp>
    <xdr:clientData/>
  </xdr:twoCellAnchor>
  <xdr:twoCellAnchor>
    <xdr:from>
      <xdr:col>17</xdr:col>
      <xdr:colOff>246574</xdr:colOff>
      <xdr:row>74</xdr:row>
      <xdr:rowOff>173298</xdr:rowOff>
    </xdr:from>
    <xdr:to>
      <xdr:col>18</xdr:col>
      <xdr:colOff>247298</xdr:colOff>
      <xdr:row>75</xdr:row>
      <xdr:rowOff>116696</xdr:rowOff>
    </xdr:to>
    <xdr:cxnSp macro="">
      <xdr:nvCxnSpPr>
        <xdr:cNvPr id="140" name="직선 연결선 139">
          <a:extLst>
            <a:ext uri="{FF2B5EF4-FFF2-40B4-BE49-F238E27FC236}">
              <a16:creationId xmlns:a16="http://schemas.microsoft.com/office/drawing/2014/main" id="{3C8A7225-BDC2-4225-BA0F-6EF6428FFA53}"/>
            </a:ext>
          </a:extLst>
        </xdr:cNvPr>
        <xdr:cNvCxnSpPr>
          <a:stCxn id="137" idx="5"/>
          <a:endCxn id="139" idx="1"/>
        </xdr:cNvCxnSpPr>
      </xdr:nvCxnSpPr>
      <xdr:spPr>
        <a:xfrm>
          <a:off x="5237674" y="16533438"/>
          <a:ext cx="267424" cy="16437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151754</xdr:colOff>
      <xdr:row>77</xdr:row>
      <xdr:rowOff>218334</xdr:rowOff>
    </xdr:from>
    <xdr:to>
      <xdr:col>23</xdr:col>
      <xdr:colOff>60953</xdr:colOff>
      <xdr:row>80</xdr:row>
      <xdr:rowOff>4567</xdr:rowOff>
    </xdr:to>
    <xdr:sp macro="" textlink="">
      <xdr:nvSpPr>
        <xdr:cNvPr id="141" name="타원 140">
          <a:extLst>
            <a:ext uri="{FF2B5EF4-FFF2-40B4-BE49-F238E27FC236}">
              <a16:creationId xmlns:a16="http://schemas.microsoft.com/office/drawing/2014/main" id="{8DD5BC2D-E4AD-4ABC-9A2D-E1D02955A32D}"/>
            </a:ext>
          </a:extLst>
        </xdr:cNvPr>
        <xdr:cNvSpPr/>
      </xdr:nvSpPr>
      <xdr:spPr>
        <a:xfrm>
          <a:off x="6209654" y="17241414"/>
          <a:ext cx="442599" cy="44917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1100"/>
            <a:t>15</a:t>
          </a:r>
          <a:endParaRPr lang="ko-KR" altLang="en-US" sz="1100"/>
        </a:p>
      </xdr:txBody>
    </xdr:sp>
    <xdr:clientData/>
  </xdr:twoCellAnchor>
  <xdr:twoCellAnchor>
    <xdr:from>
      <xdr:col>20</xdr:col>
      <xdr:colOff>25434</xdr:colOff>
      <xdr:row>77</xdr:row>
      <xdr:rowOff>1406</xdr:rowOff>
    </xdr:from>
    <xdr:to>
      <xdr:col>21</xdr:col>
      <xdr:colOff>151754</xdr:colOff>
      <xdr:row>79</xdr:row>
      <xdr:rowOff>4721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id="{731AACDF-0A21-4FBE-9D5D-41899A775A79}"/>
            </a:ext>
          </a:extLst>
        </xdr:cNvPr>
        <xdr:cNvCxnSpPr>
          <a:stCxn id="139" idx="5"/>
          <a:endCxn id="141" idx="2"/>
        </xdr:cNvCxnSpPr>
      </xdr:nvCxnSpPr>
      <xdr:spPr>
        <a:xfrm>
          <a:off x="5816634" y="17024486"/>
          <a:ext cx="393020" cy="4452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132179</xdr:colOff>
      <xdr:row>76</xdr:row>
      <xdr:rowOff>212186</xdr:rowOff>
    </xdr:from>
    <xdr:to>
      <xdr:col>51</xdr:col>
      <xdr:colOff>45867</xdr:colOff>
      <xdr:row>82</xdr:row>
      <xdr:rowOff>36633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D423AD7B-8C1A-4C71-8EA4-583C178943CB}"/>
            </a:ext>
          </a:extLst>
        </xdr:cNvPr>
        <xdr:cNvSpPr txBox="1"/>
      </xdr:nvSpPr>
      <xdr:spPr>
        <a:xfrm>
          <a:off x="6938891" y="16924898"/>
          <a:ext cx="7035457" cy="11432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[Pruning : </a:t>
          </a:r>
          <a:r>
            <a:rPr lang="ko-KR" altLang="en-US" sz="1100"/>
            <a:t>가지치기</a:t>
          </a:r>
          <a:r>
            <a:rPr lang="en-US" altLang="ko-KR" sz="1100"/>
            <a:t>]</a:t>
          </a:r>
        </a:p>
        <a:p>
          <a:r>
            <a:rPr lang="en-US" altLang="ko-KR" sz="1100"/>
            <a:t>1. </a:t>
          </a:r>
          <a:r>
            <a:rPr lang="ko-KR" altLang="en-US" sz="1100"/>
            <a:t>최적해 이상의 방문레벨을 갖는 노드는 </a:t>
          </a:r>
          <a:r>
            <a:rPr lang="en-US" altLang="ko-KR" sz="1100"/>
            <a:t>BFS</a:t>
          </a:r>
          <a:r>
            <a:rPr lang="ko-KR" altLang="en-US" sz="1100"/>
            <a:t>탐색할 필요가 없다</a:t>
          </a:r>
          <a:r>
            <a:rPr lang="en-US" altLang="ko-KR" sz="1100"/>
            <a:t>.</a:t>
          </a:r>
        </a:p>
        <a:p>
          <a:r>
            <a:rPr lang="en-US" altLang="ko-KR" sz="1100"/>
            <a:t>2. </a:t>
          </a:r>
          <a:r>
            <a:rPr lang="ko-KR" altLang="en-US" sz="1100"/>
            <a:t>현재 최적해 </a:t>
          </a:r>
          <a:r>
            <a:rPr lang="en-US" altLang="ko-KR" sz="1100"/>
            <a:t>- </a:t>
          </a:r>
          <a:r>
            <a:rPr lang="ko-KR" altLang="en-US" sz="1100"/>
            <a:t>전체최적해</a:t>
          </a:r>
          <a:r>
            <a:rPr lang="en-US" altLang="ko-KR" sz="1100"/>
            <a:t>(</a:t>
          </a:r>
          <a:r>
            <a:rPr lang="ko-KR" altLang="en-US" sz="1100"/>
            <a:t>현재최적해를포함하여</a:t>
          </a:r>
          <a:r>
            <a:rPr lang="en-US" altLang="ko-KR" sz="1100"/>
            <a:t>) </a:t>
          </a:r>
          <a:r>
            <a:rPr lang="ko-KR" altLang="en-US" sz="1100"/>
            <a:t>이상의 방문레벨을 갖</a:t>
          </a:r>
          <a:r>
            <a:rPr lang="ko-KR" altLang="en-US" sz="1100" baseline="0"/>
            <a:t>는 노드는 </a:t>
          </a:r>
          <a:r>
            <a:rPr lang="ko-KR" altLang="en-US" sz="1100"/>
            <a:t>탐색할 필요가 없다</a:t>
          </a:r>
          <a:r>
            <a:rPr lang="en-US" altLang="ko-KR" sz="1100"/>
            <a:t>.</a:t>
          </a:r>
          <a:endParaRPr lang="ko-KR" altLang="en-US" sz="1100"/>
        </a:p>
      </xdr:txBody>
    </xdr:sp>
    <xdr:clientData/>
  </xdr:twoCellAnchor>
  <xdr:twoCellAnchor>
    <xdr:from>
      <xdr:col>11</xdr:col>
      <xdr:colOff>201979</xdr:colOff>
      <xdr:row>67</xdr:row>
      <xdr:rowOff>209306</xdr:rowOff>
    </xdr:from>
    <xdr:to>
      <xdr:col>13</xdr:col>
      <xdr:colOff>72293</xdr:colOff>
      <xdr:row>69</xdr:row>
      <xdr:rowOff>86946</xdr:rowOff>
    </xdr:to>
    <xdr:sp macro="" textlink="">
      <xdr:nvSpPr>
        <xdr:cNvPr id="144" name="양쪽 중괄호 143">
          <a:extLst>
            <a:ext uri="{FF2B5EF4-FFF2-40B4-BE49-F238E27FC236}">
              <a16:creationId xmlns:a16="http://schemas.microsoft.com/office/drawing/2014/main" id="{3DC3C8B0-7F26-4DC9-B4BC-BFCCDB9995D0}"/>
            </a:ext>
          </a:extLst>
        </xdr:cNvPr>
        <xdr:cNvSpPr/>
      </xdr:nvSpPr>
      <xdr:spPr>
        <a:xfrm>
          <a:off x="3539539" y="15022586"/>
          <a:ext cx="403714" cy="319600"/>
        </a:xfrm>
        <a:prstGeom prst="bracePair">
          <a:avLst/>
        </a:prstGeom>
        <a:solidFill>
          <a:schemeClr val="bg1"/>
        </a:solidFill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1</a:t>
          </a:r>
          <a:endParaRPr lang="ko-KR" altLang="en-US" sz="1100"/>
        </a:p>
      </xdr:txBody>
    </xdr:sp>
    <xdr:clientData/>
  </xdr:twoCellAnchor>
  <xdr:twoCellAnchor>
    <xdr:from>
      <xdr:col>8</xdr:col>
      <xdr:colOff>213459</xdr:colOff>
      <xdr:row>67</xdr:row>
      <xdr:rowOff>216633</xdr:rowOff>
    </xdr:from>
    <xdr:to>
      <xdr:col>10</xdr:col>
      <xdr:colOff>83772</xdr:colOff>
      <xdr:row>69</xdr:row>
      <xdr:rowOff>91098</xdr:rowOff>
    </xdr:to>
    <xdr:sp macro="" textlink="">
      <xdr:nvSpPr>
        <xdr:cNvPr id="145" name="양쪽 중괄호 144">
          <a:extLst>
            <a:ext uri="{FF2B5EF4-FFF2-40B4-BE49-F238E27FC236}">
              <a16:creationId xmlns:a16="http://schemas.microsoft.com/office/drawing/2014/main" id="{5F4954E0-191C-4D40-87B6-BEAE937FCBF1}"/>
            </a:ext>
          </a:extLst>
        </xdr:cNvPr>
        <xdr:cNvSpPr/>
      </xdr:nvSpPr>
      <xdr:spPr>
        <a:xfrm>
          <a:off x="2750919" y="15029913"/>
          <a:ext cx="403713" cy="316425"/>
        </a:xfrm>
        <a:prstGeom prst="bracePair">
          <a:avLst/>
        </a:prstGeom>
        <a:solidFill>
          <a:schemeClr val="bg1"/>
        </a:solidFill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0</a:t>
          </a:r>
          <a:endParaRPr lang="ko-KR" altLang="en-US" sz="1100"/>
        </a:p>
      </xdr:txBody>
    </xdr:sp>
    <xdr:clientData/>
  </xdr:twoCellAnchor>
  <xdr:twoCellAnchor>
    <xdr:from>
      <xdr:col>14</xdr:col>
      <xdr:colOff>84750</xdr:colOff>
      <xdr:row>68</xdr:row>
      <xdr:rowOff>0</xdr:rowOff>
    </xdr:from>
    <xdr:to>
      <xdr:col>15</xdr:col>
      <xdr:colOff>218833</xdr:colOff>
      <xdr:row>69</xdr:row>
      <xdr:rowOff>87923</xdr:rowOff>
    </xdr:to>
    <xdr:sp macro="" textlink="">
      <xdr:nvSpPr>
        <xdr:cNvPr id="146" name="양쪽 중괄호 145">
          <a:extLst>
            <a:ext uri="{FF2B5EF4-FFF2-40B4-BE49-F238E27FC236}">
              <a16:creationId xmlns:a16="http://schemas.microsoft.com/office/drawing/2014/main" id="{A712399F-C746-4AA6-8F75-82BA3BFA0CCF}"/>
            </a:ext>
          </a:extLst>
        </xdr:cNvPr>
        <xdr:cNvSpPr/>
      </xdr:nvSpPr>
      <xdr:spPr>
        <a:xfrm>
          <a:off x="4275750" y="15034260"/>
          <a:ext cx="400783" cy="308903"/>
        </a:xfrm>
        <a:prstGeom prst="bracePair">
          <a:avLst/>
        </a:prstGeom>
        <a:solidFill>
          <a:schemeClr val="bg1"/>
        </a:solidFill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2</a:t>
          </a:r>
          <a:endParaRPr lang="ko-KR" altLang="en-US" sz="1100"/>
        </a:p>
      </xdr:txBody>
    </xdr:sp>
    <xdr:clientData/>
  </xdr:twoCellAnchor>
  <xdr:twoCellAnchor>
    <xdr:from>
      <xdr:col>17</xdr:col>
      <xdr:colOff>29309</xdr:colOff>
      <xdr:row>68</xdr:row>
      <xdr:rowOff>0</xdr:rowOff>
    </xdr:from>
    <xdr:to>
      <xdr:col>18</xdr:col>
      <xdr:colOff>163392</xdr:colOff>
      <xdr:row>69</xdr:row>
      <xdr:rowOff>84748</xdr:rowOff>
    </xdr:to>
    <xdr:sp macro="" textlink="">
      <xdr:nvSpPr>
        <xdr:cNvPr id="147" name="양쪽 중괄호 146">
          <a:extLst>
            <a:ext uri="{FF2B5EF4-FFF2-40B4-BE49-F238E27FC236}">
              <a16:creationId xmlns:a16="http://schemas.microsoft.com/office/drawing/2014/main" id="{B43D634B-EFDB-4A18-82FE-388211E64A1F}"/>
            </a:ext>
          </a:extLst>
        </xdr:cNvPr>
        <xdr:cNvSpPr/>
      </xdr:nvSpPr>
      <xdr:spPr>
        <a:xfrm>
          <a:off x="5020409" y="15034260"/>
          <a:ext cx="400783" cy="305728"/>
        </a:xfrm>
        <a:prstGeom prst="bracePair">
          <a:avLst/>
        </a:prstGeom>
        <a:solidFill>
          <a:schemeClr val="bg1"/>
        </a:solidFill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3</a:t>
          </a:r>
          <a:endParaRPr lang="ko-KR" altLang="en-US" sz="1100"/>
        </a:p>
      </xdr:txBody>
    </xdr:sp>
    <xdr:clientData/>
  </xdr:twoCellAnchor>
  <xdr:twoCellAnchor>
    <xdr:from>
      <xdr:col>19</xdr:col>
      <xdr:colOff>216634</xdr:colOff>
      <xdr:row>68</xdr:row>
      <xdr:rowOff>0</xdr:rowOff>
    </xdr:from>
    <xdr:to>
      <xdr:col>21</xdr:col>
      <xdr:colOff>86947</xdr:colOff>
      <xdr:row>69</xdr:row>
      <xdr:rowOff>87923</xdr:rowOff>
    </xdr:to>
    <xdr:sp macro="" textlink="">
      <xdr:nvSpPr>
        <xdr:cNvPr id="148" name="양쪽 중괄호 147">
          <a:extLst>
            <a:ext uri="{FF2B5EF4-FFF2-40B4-BE49-F238E27FC236}">
              <a16:creationId xmlns:a16="http://schemas.microsoft.com/office/drawing/2014/main" id="{D6F68989-314D-4A64-A632-E20364965C2E}"/>
            </a:ext>
          </a:extLst>
        </xdr:cNvPr>
        <xdr:cNvSpPr/>
      </xdr:nvSpPr>
      <xdr:spPr>
        <a:xfrm>
          <a:off x="5741134" y="15034260"/>
          <a:ext cx="403713" cy="308903"/>
        </a:xfrm>
        <a:prstGeom prst="bracePair">
          <a:avLst/>
        </a:prstGeom>
        <a:solidFill>
          <a:schemeClr val="bg1"/>
        </a:solidFill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4</a:t>
          </a:r>
          <a:endParaRPr lang="ko-KR" altLang="en-US" sz="1100"/>
        </a:p>
      </xdr:txBody>
    </xdr:sp>
    <xdr:clientData/>
  </xdr:twoCellAnchor>
  <xdr:twoCellAnchor>
    <xdr:from>
      <xdr:col>22</xdr:col>
      <xdr:colOff>183174</xdr:colOff>
      <xdr:row>68</xdr:row>
      <xdr:rowOff>0</xdr:rowOff>
    </xdr:from>
    <xdr:to>
      <xdr:col>24</xdr:col>
      <xdr:colOff>47138</xdr:colOff>
      <xdr:row>69</xdr:row>
      <xdr:rowOff>84748</xdr:rowOff>
    </xdr:to>
    <xdr:sp macro="" textlink="">
      <xdr:nvSpPr>
        <xdr:cNvPr id="149" name="양쪽 중괄호 148">
          <a:extLst>
            <a:ext uri="{FF2B5EF4-FFF2-40B4-BE49-F238E27FC236}">
              <a16:creationId xmlns:a16="http://schemas.microsoft.com/office/drawing/2014/main" id="{1325A5E8-FC6C-47FC-8D41-4921FB2227DD}"/>
            </a:ext>
          </a:extLst>
        </xdr:cNvPr>
        <xdr:cNvSpPr/>
      </xdr:nvSpPr>
      <xdr:spPr>
        <a:xfrm>
          <a:off x="6507774" y="15034260"/>
          <a:ext cx="397364" cy="305728"/>
        </a:xfrm>
        <a:prstGeom prst="bracePair">
          <a:avLst/>
        </a:prstGeom>
        <a:solidFill>
          <a:schemeClr val="bg1"/>
        </a:solidFill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5</a:t>
          </a:r>
          <a:endParaRPr lang="ko-KR" altLang="en-US" sz="1100"/>
        </a:p>
      </xdr:txBody>
    </xdr:sp>
    <xdr:clientData/>
  </xdr:twoCellAnchor>
  <xdr:twoCellAnchor>
    <xdr:from>
      <xdr:col>25</xdr:col>
      <xdr:colOff>172671</xdr:colOff>
      <xdr:row>68</xdr:row>
      <xdr:rowOff>0</xdr:rowOff>
    </xdr:from>
    <xdr:to>
      <xdr:col>27</xdr:col>
      <xdr:colOff>42985</xdr:colOff>
      <xdr:row>69</xdr:row>
      <xdr:rowOff>87923</xdr:rowOff>
    </xdr:to>
    <xdr:sp macro="" textlink="">
      <xdr:nvSpPr>
        <xdr:cNvPr id="150" name="양쪽 중괄호 149">
          <a:extLst>
            <a:ext uri="{FF2B5EF4-FFF2-40B4-BE49-F238E27FC236}">
              <a16:creationId xmlns:a16="http://schemas.microsoft.com/office/drawing/2014/main" id="{2A82694E-8F37-46F8-845E-C0EEED72A7D0}"/>
            </a:ext>
          </a:extLst>
        </xdr:cNvPr>
        <xdr:cNvSpPr/>
      </xdr:nvSpPr>
      <xdr:spPr>
        <a:xfrm>
          <a:off x="7297371" y="15034260"/>
          <a:ext cx="403714" cy="308903"/>
        </a:xfrm>
        <a:prstGeom prst="bracePair">
          <a:avLst/>
        </a:prstGeom>
        <a:solidFill>
          <a:schemeClr val="bg1"/>
        </a:solidFill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6</a:t>
          </a:r>
          <a:endParaRPr lang="ko-KR" altLang="en-US" sz="1100"/>
        </a:p>
      </xdr:txBody>
    </xdr:sp>
    <xdr:clientData/>
  </xdr:twoCellAnchor>
  <xdr:twoCellAnchor>
    <xdr:from>
      <xdr:col>28</xdr:col>
      <xdr:colOff>62768</xdr:colOff>
      <xdr:row>68</xdr:row>
      <xdr:rowOff>0</xdr:rowOff>
    </xdr:from>
    <xdr:to>
      <xdr:col>29</xdr:col>
      <xdr:colOff>203201</xdr:colOff>
      <xdr:row>69</xdr:row>
      <xdr:rowOff>87923</xdr:rowOff>
    </xdr:to>
    <xdr:sp macro="" textlink="">
      <xdr:nvSpPr>
        <xdr:cNvPr id="151" name="양쪽 중괄호 150">
          <a:extLst>
            <a:ext uri="{FF2B5EF4-FFF2-40B4-BE49-F238E27FC236}">
              <a16:creationId xmlns:a16="http://schemas.microsoft.com/office/drawing/2014/main" id="{471CC180-A6EF-4FFC-81B7-F7AE34526C0B}"/>
            </a:ext>
          </a:extLst>
        </xdr:cNvPr>
        <xdr:cNvSpPr/>
      </xdr:nvSpPr>
      <xdr:spPr>
        <a:xfrm>
          <a:off x="7987568" y="15034260"/>
          <a:ext cx="407133" cy="308903"/>
        </a:xfrm>
        <a:prstGeom prst="bracePair">
          <a:avLst/>
        </a:prstGeom>
        <a:solidFill>
          <a:schemeClr val="bg1"/>
        </a:solidFill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7</a:t>
          </a:r>
          <a:endParaRPr lang="ko-KR" altLang="en-US" sz="1100"/>
        </a:p>
      </xdr:txBody>
    </xdr:sp>
    <xdr:clientData/>
  </xdr:twoCellAnchor>
  <xdr:twoCellAnchor>
    <xdr:from>
      <xdr:col>30</xdr:col>
      <xdr:colOff>223960</xdr:colOff>
      <xdr:row>68</xdr:row>
      <xdr:rowOff>0</xdr:rowOff>
    </xdr:from>
    <xdr:to>
      <xdr:col>32</xdr:col>
      <xdr:colOff>100624</xdr:colOff>
      <xdr:row>69</xdr:row>
      <xdr:rowOff>87923</xdr:rowOff>
    </xdr:to>
    <xdr:sp macro="" textlink="">
      <xdr:nvSpPr>
        <xdr:cNvPr id="152" name="양쪽 중괄호 151">
          <a:extLst>
            <a:ext uri="{FF2B5EF4-FFF2-40B4-BE49-F238E27FC236}">
              <a16:creationId xmlns:a16="http://schemas.microsoft.com/office/drawing/2014/main" id="{EDCC8594-B4C1-45F6-9C6E-4CA90B1C4337}"/>
            </a:ext>
          </a:extLst>
        </xdr:cNvPr>
        <xdr:cNvSpPr/>
      </xdr:nvSpPr>
      <xdr:spPr>
        <a:xfrm>
          <a:off x="8682160" y="15034260"/>
          <a:ext cx="410064" cy="308903"/>
        </a:xfrm>
        <a:prstGeom prst="bracePair">
          <a:avLst/>
        </a:prstGeom>
        <a:solidFill>
          <a:schemeClr val="bg1"/>
        </a:solidFill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8</a:t>
          </a:r>
          <a:endParaRPr lang="ko-KR" altLang="en-US" sz="1100"/>
        </a:p>
      </xdr:txBody>
    </xdr:sp>
    <xdr:clientData/>
  </xdr:twoCellAnchor>
  <xdr:twoCellAnchor>
    <xdr:from>
      <xdr:col>33</xdr:col>
      <xdr:colOff>220786</xdr:colOff>
      <xdr:row>68</xdr:row>
      <xdr:rowOff>0</xdr:rowOff>
    </xdr:from>
    <xdr:to>
      <xdr:col>35</xdr:col>
      <xdr:colOff>103799</xdr:colOff>
      <xdr:row>69</xdr:row>
      <xdr:rowOff>84748</xdr:rowOff>
    </xdr:to>
    <xdr:sp macro="" textlink="">
      <xdr:nvSpPr>
        <xdr:cNvPr id="153" name="양쪽 중괄호 152">
          <a:extLst>
            <a:ext uri="{FF2B5EF4-FFF2-40B4-BE49-F238E27FC236}">
              <a16:creationId xmlns:a16="http://schemas.microsoft.com/office/drawing/2014/main" id="{9E152EDA-8550-47B7-9A0D-11573C3FB4C5}"/>
            </a:ext>
          </a:extLst>
        </xdr:cNvPr>
        <xdr:cNvSpPr/>
      </xdr:nvSpPr>
      <xdr:spPr>
        <a:xfrm>
          <a:off x="9479086" y="15034260"/>
          <a:ext cx="416413" cy="305728"/>
        </a:xfrm>
        <a:prstGeom prst="bracePair">
          <a:avLst/>
        </a:prstGeom>
        <a:solidFill>
          <a:schemeClr val="bg1"/>
        </a:solidFill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9</a:t>
          </a:r>
          <a:endParaRPr lang="ko-KR" altLang="en-US" sz="1100"/>
        </a:p>
      </xdr:txBody>
    </xdr:sp>
    <xdr:clientData/>
  </xdr:twoCellAnchor>
  <xdr:twoCellAnchor>
    <xdr:from>
      <xdr:col>36</xdr:col>
      <xdr:colOff>239591</xdr:colOff>
      <xdr:row>68</xdr:row>
      <xdr:rowOff>0</xdr:rowOff>
    </xdr:from>
    <xdr:to>
      <xdr:col>38</xdr:col>
      <xdr:colOff>128954</xdr:colOff>
      <xdr:row>69</xdr:row>
      <xdr:rowOff>87923</xdr:rowOff>
    </xdr:to>
    <xdr:sp macro="" textlink="">
      <xdr:nvSpPr>
        <xdr:cNvPr id="154" name="양쪽 중괄호 153">
          <a:extLst>
            <a:ext uri="{FF2B5EF4-FFF2-40B4-BE49-F238E27FC236}">
              <a16:creationId xmlns:a16="http://schemas.microsoft.com/office/drawing/2014/main" id="{8CC22BA0-484D-4D96-935C-B00041424E0B}"/>
            </a:ext>
          </a:extLst>
        </xdr:cNvPr>
        <xdr:cNvSpPr/>
      </xdr:nvSpPr>
      <xdr:spPr>
        <a:xfrm>
          <a:off x="10297991" y="15034260"/>
          <a:ext cx="422763" cy="308903"/>
        </a:xfrm>
        <a:prstGeom prst="bracePair">
          <a:avLst/>
        </a:prstGeom>
        <a:solidFill>
          <a:schemeClr val="bg1"/>
        </a:solidFill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10</a:t>
          </a:r>
          <a:endParaRPr lang="ko-KR" altLang="en-US" sz="1100"/>
        </a:p>
      </xdr:txBody>
    </xdr:sp>
    <xdr:clientData/>
  </xdr:twoCellAnchor>
  <xdr:twoCellAnchor>
    <xdr:from>
      <xdr:col>39</xdr:col>
      <xdr:colOff>119185</xdr:colOff>
      <xdr:row>68</xdr:row>
      <xdr:rowOff>0</xdr:rowOff>
    </xdr:from>
    <xdr:to>
      <xdr:col>41</xdr:col>
      <xdr:colOff>8549</xdr:colOff>
      <xdr:row>69</xdr:row>
      <xdr:rowOff>84748</xdr:rowOff>
    </xdr:to>
    <xdr:sp macro="" textlink="">
      <xdr:nvSpPr>
        <xdr:cNvPr id="155" name="양쪽 중괄호 154">
          <a:extLst>
            <a:ext uri="{FF2B5EF4-FFF2-40B4-BE49-F238E27FC236}">
              <a16:creationId xmlns:a16="http://schemas.microsoft.com/office/drawing/2014/main" id="{66C65158-60E7-4B23-92AF-42BAF41C26CC}"/>
            </a:ext>
          </a:extLst>
        </xdr:cNvPr>
        <xdr:cNvSpPr/>
      </xdr:nvSpPr>
      <xdr:spPr>
        <a:xfrm>
          <a:off x="10977685" y="15034260"/>
          <a:ext cx="422764" cy="305728"/>
        </a:xfrm>
        <a:prstGeom prst="bracePair">
          <a:avLst/>
        </a:prstGeom>
        <a:solidFill>
          <a:schemeClr val="bg1"/>
        </a:solidFill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11</a:t>
          </a:r>
          <a:endParaRPr lang="ko-KR" altLang="en-US" sz="1100"/>
        </a:p>
      </xdr:txBody>
    </xdr:sp>
    <xdr:clientData/>
  </xdr:twoCellAnchor>
  <xdr:twoCellAnchor>
    <xdr:from>
      <xdr:col>15</xdr:col>
      <xdr:colOff>33462</xdr:colOff>
      <xdr:row>74</xdr:row>
      <xdr:rowOff>87924</xdr:rowOff>
    </xdr:from>
    <xdr:to>
      <xdr:col>16</xdr:col>
      <xdr:colOff>167545</xdr:colOff>
      <xdr:row>75</xdr:row>
      <xdr:rowOff>175847</xdr:rowOff>
    </xdr:to>
    <xdr:sp macro="" textlink="">
      <xdr:nvSpPr>
        <xdr:cNvPr id="156" name="양쪽 중괄호 155">
          <a:extLst>
            <a:ext uri="{FF2B5EF4-FFF2-40B4-BE49-F238E27FC236}">
              <a16:creationId xmlns:a16="http://schemas.microsoft.com/office/drawing/2014/main" id="{511DCEDC-EB76-49CF-BAD0-1EA20FDF8B8C}"/>
            </a:ext>
          </a:extLst>
        </xdr:cNvPr>
        <xdr:cNvSpPr/>
      </xdr:nvSpPr>
      <xdr:spPr>
        <a:xfrm>
          <a:off x="4491162" y="16448064"/>
          <a:ext cx="400783" cy="308903"/>
        </a:xfrm>
        <a:prstGeom prst="bracePair">
          <a:avLst/>
        </a:prstGeom>
        <a:solidFill>
          <a:schemeClr val="bg1"/>
        </a:solidFill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3</a:t>
          </a:r>
          <a:endParaRPr lang="ko-KR" altLang="en-US" sz="1100"/>
        </a:p>
      </xdr:txBody>
    </xdr:sp>
    <xdr:clientData/>
  </xdr:twoCellAnchor>
  <xdr:twoCellAnchor>
    <xdr:from>
      <xdr:col>17</xdr:col>
      <xdr:colOff>36636</xdr:colOff>
      <xdr:row>76</xdr:row>
      <xdr:rowOff>117230</xdr:rowOff>
    </xdr:from>
    <xdr:to>
      <xdr:col>18</xdr:col>
      <xdr:colOff>164369</xdr:colOff>
      <xdr:row>77</xdr:row>
      <xdr:rowOff>201979</xdr:rowOff>
    </xdr:to>
    <xdr:sp macro="" textlink="">
      <xdr:nvSpPr>
        <xdr:cNvPr id="157" name="양쪽 중괄호 156">
          <a:extLst>
            <a:ext uri="{FF2B5EF4-FFF2-40B4-BE49-F238E27FC236}">
              <a16:creationId xmlns:a16="http://schemas.microsoft.com/office/drawing/2014/main" id="{94557942-9513-4109-9196-7E22B8CAF69D}"/>
            </a:ext>
          </a:extLst>
        </xdr:cNvPr>
        <xdr:cNvSpPr/>
      </xdr:nvSpPr>
      <xdr:spPr>
        <a:xfrm>
          <a:off x="5027736" y="16919330"/>
          <a:ext cx="394433" cy="305729"/>
        </a:xfrm>
        <a:prstGeom prst="bracePair">
          <a:avLst/>
        </a:prstGeom>
        <a:solidFill>
          <a:schemeClr val="bg1"/>
        </a:solidFill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4</a:t>
          </a:r>
          <a:endParaRPr lang="ko-KR" altLang="en-US" sz="1100"/>
        </a:p>
      </xdr:txBody>
    </xdr:sp>
    <xdr:clientData/>
  </xdr:twoCellAnchor>
  <xdr:twoCellAnchor>
    <xdr:from>
      <xdr:col>19</xdr:col>
      <xdr:colOff>201980</xdr:colOff>
      <xdr:row>78</xdr:row>
      <xdr:rowOff>190499</xdr:rowOff>
    </xdr:from>
    <xdr:to>
      <xdr:col>21</xdr:col>
      <xdr:colOff>72293</xdr:colOff>
      <xdr:row>80</xdr:row>
      <xdr:rowOff>58615</xdr:rowOff>
    </xdr:to>
    <xdr:sp macro="" textlink="">
      <xdr:nvSpPr>
        <xdr:cNvPr id="158" name="양쪽 중괄호 157">
          <a:extLst>
            <a:ext uri="{FF2B5EF4-FFF2-40B4-BE49-F238E27FC236}">
              <a16:creationId xmlns:a16="http://schemas.microsoft.com/office/drawing/2014/main" id="{8B197F30-9FAC-4F89-A116-7FFDB13FFDB6}"/>
            </a:ext>
          </a:extLst>
        </xdr:cNvPr>
        <xdr:cNvSpPr/>
      </xdr:nvSpPr>
      <xdr:spPr>
        <a:xfrm>
          <a:off x="5726480" y="17434559"/>
          <a:ext cx="403713" cy="310076"/>
        </a:xfrm>
        <a:prstGeom prst="bracePair">
          <a:avLst/>
        </a:prstGeom>
        <a:solidFill>
          <a:schemeClr val="bg1"/>
        </a:solidFill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5</a:t>
          </a:r>
          <a:endParaRPr lang="ko-KR" altLang="en-US" sz="1100"/>
        </a:p>
      </xdr:txBody>
    </xdr:sp>
    <xdr:clientData/>
  </xdr:twoCellAnchor>
  <xdr:twoCellAnchor editAs="oneCell">
    <xdr:from>
      <xdr:col>35</xdr:col>
      <xdr:colOff>255812</xdr:colOff>
      <xdr:row>14</xdr:row>
      <xdr:rowOff>194005</xdr:rowOff>
    </xdr:from>
    <xdr:to>
      <xdr:col>46</xdr:col>
      <xdr:colOff>132260</xdr:colOff>
      <xdr:row>23</xdr:row>
      <xdr:rowOff>171143</xdr:rowOff>
    </xdr:to>
    <xdr:pic>
      <xdr:nvPicPr>
        <xdr:cNvPr id="159" name="그림 158" descr="https://u.jungol.co.kr/problem/2503/2be861ae-a3e7-462e-8f24-1a7265240ea2.png">
          <a:extLst>
            <a:ext uri="{FF2B5EF4-FFF2-40B4-BE49-F238E27FC236}">
              <a16:creationId xmlns:a16="http://schemas.microsoft.com/office/drawing/2014/main" id="{6F27A7C2-F074-4B79-AE10-A902D9D7D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3455" y="3255612"/>
          <a:ext cx="2879544" cy="19499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74</xdr:col>
      <xdr:colOff>21505</xdr:colOff>
      <xdr:row>14</xdr:row>
      <xdr:rowOff>209472</xdr:rowOff>
    </xdr:from>
    <xdr:to>
      <xdr:col>74</xdr:col>
      <xdr:colOff>412680</xdr:colOff>
      <xdr:row>16</xdr:row>
      <xdr:rowOff>70993</xdr:rowOff>
    </xdr:to>
    <xdr:sp macro="" textlink="">
      <xdr:nvSpPr>
        <xdr:cNvPr id="160" name="오른쪽 화살표 1">
          <a:extLst>
            <a:ext uri="{FF2B5EF4-FFF2-40B4-BE49-F238E27FC236}">
              <a16:creationId xmlns:a16="http://schemas.microsoft.com/office/drawing/2014/main" id="{0CF3EC3F-02DF-481C-822D-C144BBBEB4C5}"/>
            </a:ext>
          </a:extLst>
        </xdr:cNvPr>
        <xdr:cNvSpPr/>
      </xdr:nvSpPr>
      <xdr:spPr>
        <a:xfrm>
          <a:off x="20106831" y="3240907"/>
          <a:ext cx="391175" cy="29221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86</xdr:col>
      <xdr:colOff>16723</xdr:colOff>
      <xdr:row>4</xdr:row>
      <xdr:rowOff>132058</xdr:rowOff>
    </xdr:from>
    <xdr:to>
      <xdr:col>106</xdr:col>
      <xdr:colOff>149371</xdr:colOff>
      <xdr:row>14</xdr:row>
      <xdr:rowOff>95152</xdr:rowOff>
    </xdr:to>
    <xdr:pic>
      <xdr:nvPicPr>
        <xdr:cNvPr id="161" name="그림 160">
          <a:extLst>
            <a:ext uri="{FF2B5EF4-FFF2-40B4-BE49-F238E27FC236}">
              <a16:creationId xmlns:a16="http://schemas.microsoft.com/office/drawing/2014/main" id="{AB68F871-9708-4A09-8D88-5830F6C36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88108" y="583543"/>
          <a:ext cx="5462839" cy="2153844"/>
        </a:xfrm>
        <a:prstGeom prst="rect">
          <a:avLst/>
        </a:prstGeom>
      </xdr:spPr>
    </xdr:pic>
    <xdr:clientData/>
  </xdr:twoCellAnchor>
  <xdr:twoCellAnchor>
    <xdr:from>
      <xdr:col>78</xdr:col>
      <xdr:colOff>384146</xdr:colOff>
      <xdr:row>14</xdr:row>
      <xdr:rowOff>68421</xdr:rowOff>
    </xdr:from>
    <xdr:to>
      <xdr:col>79</xdr:col>
      <xdr:colOff>440987</xdr:colOff>
      <xdr:row>16</xdr:row>
      <xdr:rowOff>144398</xdr:rowOff>
    </xdr:to>
    <xdr:sp macro="" textlink="">
      <xdr:nvSpPr>
        <xdr:cNvPr id="162" name="오른쪽 화살표 3">
          <a:extLst>
            <a:ext uri="{FF2B5EF4-FFF2-40B4-BE49-F238E27FC236}">
              <a16:creationId xmlns:a16="http://schemas.microsoft.com/office/drawing/2014/main" id="{ABBE179D-709F-4909-9DF3-C009169AFF54}"/>
            </a:ext>
          </a:extLst>
        </xdr:cNvPr>
        <xdr:cNvSpPr/>
      </xdr:nvSpPr>
      <xdr:spPr>
        <a:xfrm>
          <a:off x="22258516" y="3099856"/>
          <a:ext cx="504101" cy="506672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np</a:t>
          </a:r>
          <a:endParaRPr lang="ko-KR" altLang="en-US" sz="1100"/>
        </a:p>
      </xdr:txBody>
    </xdr:sp>
    <xdr:clientData/>
  </xdr:twoCellAnchor>
  <xdr:twoCellAnchor>
    <xdr:from>
      <xdr:col>76</xdr:col>
      <xdr:colOff>481852</xdr:colOff>
      <xdr:row>3</xdr:row>
      <xdr:rowOff>190500</xdr:rowOff>
    </xdr:from>
    <xdr:to>
      <xdr:col>82</xdr:col>
      <xdr:colOff>22411</xdr:colOff>
      <xdr:row>6</xdr:row>
      <xdr:rowOff>0</xdr:rowOff>
    </xdr:to>
    <xdr:sp macro="" textlink="">
      <xdr:nvSpPr>
        <xdr:cNvPr id="163" name="직사각형 162">
          <a:extLst>
            <a:ext uri="{FF2B5EF4-FFF2-40B4-BE49-F238E27FC236}">
              <a16:creationId xmlns:a16="http://schemas.microsoft.com/office/drawing/2014/main" id="{A39A8DFB-77D8-4BD8-BAFC-E8331F68E2DD}"/>
            </a:ext>
          </a:extLst>
        </xdr:cNvPr>
        <xdr:cNvSpPr/>
      </xdr:nvSpPr>
      <xdr:spPr>
        <a:xfrm>
          <a:off x="2097292" y="419100"/>
          <a:ext cx="2893359" cy="4667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/>
            <a:t>Array</a:t>
          </a:r>
          <a:r>
            <a:rPr lang="en-US" altLang="ko-KR" sz="1800" baseline="0"/>
            <a:t> Linked List</a:t>
          </a:r>
        </a:p>
      </xdr:txBody>
    </xdr:sp>
    <xdr:clientData/>
  </xdr:twoCellAnchor>
  <xdr:twoCellAnchor editAs="oneCell">
    <xdr:from>
      <xdr:col>86</xdr:col>
      <xdr:colOff>156881</xdr:colOff>
      <xdr:row>15</xdr:row>
      <xdr:rowOff>112059</xdr:rowOff>
    </xdr:from>
    <xdr:to>
      <xdr:col>104</xdr:col>
      <xdr:colOff>226694</xdr:colOff>
      <xdr:row>19</xdr:row>
      <xdr:rowOff>132839</xdr:rowOff>
    </xdr:to>
    <xdr:pic>
      <xdr:nvPicPr>
        <xdr:cNvPr id="164" name="그림 163">
          <a:extLst>
            <a:ext uri="{FF2B5EF4-FFF2-40B4-BE49-F238E27FC236}">
              <a16:creationId xmlns:a16="http://schemas.microsoft.com/office/drawing/2014/main" id="{B99C5D31-9CBC-42F6-BCAD-83AB041D8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26361" y="2969559"/>
          <a:ext cx="4868509" cy="900890"/>
        </a:xfrm>
        <a:prstGeom prst="rect">
          <a:avLst/>
        </a:prstGeom>
        <a:ln w="12700">
          <a:solidFill>
            <a:srgbClr val="000000"/>
          </a:solidFill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11203</xdr:colOff>
      <xdr:row>10</xdr:row>
      <xdr:rowOff>11206</xdr:rowOff>
    </xdr:from>
    <xdr:to>
      <xdr:col>10</xdr:col>
      <xdr:colOff>142875</xdr:colOff>
      <xdr:row>14</xdr:row>
      <xdr:rowOff>333376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85229A0-AD9D-4992-AE03-416ECBDC332D}"/>
            </a:ext>
          </a:extLst>
        </xdr:cNvPr>
        <xdr:cNvSpPr txBox="1"/>
      </xdr:nvSpPr>
      <xdr:spPr>
        <a:xfrm>
          <a:off x="1192303" y="4354606"/>
          <a:ext cx="5496152" cy="2150970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2400">
              <a:solidFill>
                <a:schemeClr val="tx1"/>
              </a:solidFill>
            </a:rPr>
            <a:t>Analysis : </a:t>
          </a:r>
        </a:p>
        <a:p>
          <a:r>
            <a:rPr lang="ko-KR" altLang="en-US" sz="2400">
              <a:solidFill>
                <a:schemeClr val="tx1"/>
              </a:solidFill>
            </a:rPr>
            <a:t>최단경로</a:t>
          </a:r>
          <a:r>
            <a:rPr lang="en-US" altLang="ko-KR" sz="2400">
              <a:solidFill>
                <a:schemeClr val="tx1"/>
              </a:solidFill>
            </a:rPr>
            <a:t>(</a:t>
          </a:r>
          <a:r>
            <a:rPr lang="ko-KR" altLang="en-US" sz="2400">
              <a:solidFill>
                <a:schemeClr val="tx1"/>
              </a:solidFill>
            </a:rPr>
            <a:t>거리</a:t>
          </a:r>
          <a:r>
            <a:rPr lang="en-US" altLang="ko-KR" sz="2400">
              <a:solidFill>
                <a:schemeClr val="tx1"/>
              </a:solidFill>
            </a:rPr>
            <a:t>) </a:t>
          </a:r>
          <a:r>
            <a:rPr lang="ko-KR" altLang="en-US" sz="2400">
              <a:solidFill>
                <a:schemeClr val="tx1"/>
              </a:solidFill>
            </a:rPr>
            <a:t>알고리즘</a:t>
          </a:r>
          <a:r>
            <a:rPr lang="en-US" altLang="ko-KR" sz="2400">
              <a:solidFill>
                <a:schemeClr val="tx1"/>
              </a:solidFill>
            </a:rPr>
            <a:t> </a:t>
          </a:r>
          <a:r>
            <a:rPr lang="ko-KR" altLang="en-US" sz="2400">
              <a:solidFill>
                <a:schemeClr val="tx1"/>
              </a:solidFill>
            </a:rPr>
            <a:t>개념문제</a:t>
          </a:r>
          <a:endParaRPr lang="en-US" altLang="ko-KR" sz="2400">
            <a:solidFill>
              <a:schemeClr val="tx1"/>
            </a:solidFill>
          </a:endParaRPr>
        </a:p>
        <a:p>
          <a:r>
            <a:rPr lang="en-US" altLang="ko-KR" sz="2400" baseline="0">
              <a:solidFill>
                <a:schemeClr val="tx1"/>
              </a:solidFill>
            </a:rPr>
            <a:t>1. Floyd_Warshall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2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2. Dijkstra</a:t>
          </a:r>
          <a:endParaRPr lang="en-US" altLang="ko-KR" sz="2400" baseline="0">
            <a:solidFill>
              <a:schemeClr val="tx1"/>
            </a:solidFill>
          </a:endParaRPr>
        </a:p>
        <a:p>
          <a:endParaRPr lang="en-US" altLang="ko-KR" sz="2400">
            <a:solidFill>
              <a:schemeClr val="tx1"/>
            </a:solidFill>
          </a:endParaRP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152654</xdr:colOff>
      <xdr:row>11</xdr:row>
      <xdr:rowOff>163273</xdr:rowOff>
    </xdr:from>
    <xdr:to>
      <xdr:col>2</xdr:col>
      <xdr:colOff>88286</xdr:colOff>
      <xdr:row>13</xdr:row>
      <xdr:rowOff>43843</xdr:rowOff>
    </xdr:to>
    <xdr:sp macro="" textlink="">
      <xdr:nvSpPr>
        <xdr:cNvPr id="2" name="오른쪽 화살표 1">
          <a:extLst>
            <a:ext uri="{FF2B5EF4-FFF2-40B4-BE49-F238E27FC236}">
              <a16:creationId xmlns:a16="http://schemas.microsoft.com/office/drawing/2014/main" id="{B668FAA2-8461-4150-A36D-1DD346B45832}"/>
            </a:ext>
          </a:extLst>
        </xdr:cNvPr>
        <xdr:cNvSpPr/>
      </xdr:nvSpPr>
      <xdr:spPr>
        <a:xfrm>
          <a:off x="666176" y="2548664"/>
          <a:ext cx="606523" cy="31126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13</xdr:col>
      <xdr:colOff>16723</xdr:colOff>
      <xdr:row>2</xdr:row>
      <xdr:rowOff>132058</xdr:rowOff>
    </xdr:from>
    <xdr:to>
      <xdr:col>21</xdr:col>
      <xdr:colOff>149372</xdr:colOff>
      <xdr:row>12</xdr:row>
      <xdr:rowOff>98962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D8A1499-F347-4AD2-A9A8-D1407D915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86203" y="581638"/>
          <a:ext cx="5462839" cy="2153844"/>
        </a:xfrm>
        <a:prstGeom prst="rect">
          <a:avLst/>
        </a:prstGeom>
      </xdr:spPr>
    </xdr:pic>
    <xdr:clientData/>
  </xdr:twoCellAnchor>
  <xdr:twoCellAnchor>
    <xdr:from>
      <xdr:col>6</xdr:col>
      <xdr:colOff>169271</xdr:colOff>
      <xdr:row>11</xdr:row>
      <xdr:rowOff>45086</xdr:rowOff>
    </xdr:from>
    <xdr:to>
      <xdr:col>7</xdr:col>
      <xdr:colOff>83694</xdr:colOff>
      <xdr:row>13</xdr:row>
      <xdr:rowOff>71532</xdr:rowOff>
    </xdr:to>
    <xdr:sp macro="" textlink="">
      <xdr:nvSpPr>
        <xdr:cNvPr id="4" name="오른쪽 화살표 3">
          <a:extLst>
            <a:ext uri="{FF2B5EF4-FFF2-40B4-BE49-F238E27FC236}">
              <a16:creationId xmlns:a16="http://schemas.microsoft.com/office/drawing/2014/main" id="{5FE62412-9058-4F4A-8CAF-46F97BD7DE21}"/>
            </a:ext>
          </a:extLst>
        </xdr:cNvPr>
        <xdr:cNvSpPr/>
      </xdr:nvSpPr>
      <xdr:spPr>
        <a:xfrm>
          <a:off x="3391206" y="2430477"/>
          <a:ext cx="585314" cy="457142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np</a:t>
          </a:r>
          <a:endParaRPr lang="ko-KR" altLang="en-US" sz="1100"/>
        </a:p>
      </xdr:txBody>
    </xdr:sp>
    <xdr:clientData/>
  </xdr:twoCellAnchor>
  <xdr:twoCellAnchor>
    <xdr:from>
      <xdr:col>3</xdr:col>
      <xdr:colOff>481852</xdr:colOff>
      <xdr:row>1</xdr:row>
      <xdr:rowOff>190500</xdr:rowOff>
    </xdr:from>
    <xdr:to>
      <xdr:col>9</xdr:col>
      <xdr:colOff>22411</xdr:colOff>
      <xdr:row>4</xdr:row>
      <xdr:rowOff>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B179BDE6-63F8-4058-A0D6-ED7597314414}"/>
            </a:ext>
          </a:extLst>
        </xdr:cNvPr>
        <xdr:cNvSpPr/>
      </xdr:nvSpPr>
      <xdr:spPr>
        <a:xfrm>
          <a:off x="2097292" y="419100"/>
          <a:ext cx="2900979" cy="4724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/>
            <a:t>Array</a:t>
          </a:r>
          <a:r>
            <a:rPr lang="en-US" altLang="ko-KR" sz="1800" baseline="0"/>
            <a:t> Linked List</a:t>
          </a:r>
        </a:p>
      </xdr:txBody>
    </xdr:sp>
    <xdr:clientData/>
  </xdr:twoCellAnchor>
  <xdr:twoCellAnchor editAs="oneCell">
    <xdr:from>
      <xdr:col>13</xdr:col>
      <xdr:colOff>156881</xdr:colOff>
      <xdr:row>13</xdr:row>
      <xdr:rowOff>112059</xdr:rowOff>
    </xdr:from>
    <xdr:to>
      <xdr:col>20</xdr:col>
      <xdr:colOff>360045</xdr:colOff>
      <xdr:row>17</xdr:row>
      <xdr:rowOff>136649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CDF50632-621E-404C-9FC2-6B983A29A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26361" y="2992419"/>
          <a:ext cx="4868509" cy="906605"/>
        </a:xfrm>
        <a:prstGeom prst="rect">
          <a:avLst/>
        </a:prstGeom>
        <a:ln w="12700">
          <a:solidFill>
            <a:srgbClr val="000000"/>
          </a:solidFill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276226</xdr:colOff>
      <xdr:row>2</xdr:row>
      <xdr:rowOff>28576</xdr:rowOff>
    </xdr:from>
    <xdr:to>
      <xdr:col>4</xdr:col>
      <xdr:colOff>390526</xdr:colOff>
      <xdr:row>4</xdr:row>
      <xdr:rowOff>9526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D0D2D45-42F8-4E3C-BA02-7C8E8C34FB31}"/>
            </a:ext>
          </a:extLst>
        </xdr:cNvPr>
        <xdr:cNvSpPr txBox="1"/>
      </xdr:nvSpPr>
      <xdr:spPr>
        <a:xfrm>
          <a:off x="786766" y="478156"/>
          <a:ext cx="2125980" cy="4229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슬라이드 참조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1</xdr:row>
      <xdr:rowOff>123825</xdr:rowOff>
    </xdr:from>
    <xdr:to>
      <xdr:col>9</xdr:col>
      <xdr:colOff>428625</xdr:colOff>
      <xdr:row>16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1EA7E12-0EC8-4F32-88AE-3752EDD6892E}"/>
            </a:ext>
          </a:extLst>
        </xdr:cNvPr>
        <xdr:cNvSpPr txBox="1"/>
      </xdr:nvSpPr>
      <xdr:spPr>
        <a:xfrm>
          <a:off x="786765" y="352425"/>
          <a:ext cx="5516880" cy="3352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/>
            <a:t>[</a:t>
          </a:r>
          <a:r>
            <a:rPr lang="ko-KR" altLang="en-US" sz="1100" b="1"/>
            <a:t>해결전략</a:t>
          </a:r>
          <a:r>
            <a:rPr lang="en-US" altLang="ko-KR" sz="1100" b="1"/>
            <a:t>]</a:t>
          </a:r>
        </a:p>
        <a:p>
          <a:endParaRPr lang="en-US" altLang="ko-KR" sz="1100" b="1"/>
        </a:p>
        <a:p>
          <a:r>
            <a:rPr lang="ko-KR" altLang="en-US" sz="1100"/>
            <a:t>학생의 수는 </a:t>
          </a:r>
          <a:r>
            <a:rPr lang="en-US" altLang="ko-KR" sz="1100"/>
            <a:t>N(&lt;=500),</a:t>
          </a:r>
          <a:r>
            <a:rPr lang="en-US" altLang="ko-KR" sz="1100" baseline="0"/>
            <a:t> </a:t>
          </a:r>
          <a:r>
            <a:rPr lang="ko-KR" altLang="en-US" sz="1100" baseline="0"/>
            <a:t>장소의 수는 </a:t>
          </a:r>
          <a:r>
            <a:rPr lang="en-US" altLang="ko-KR" sz="1100" baseline="0"/>
            <a:t>P(&lt;=800), </a:t>
          </a:r>
          <a:r>
            <a:rPr lang="ko-KR" altLang="en-US" sz="1100" baseline="0"/>
            <a:t>양방향 경로의 수는 </a:t>
          </a:r>
          <a:r>
            <a:rPr lang="en-US" altLang="ko-KR" sz="1100" baseline="0"/>
            <a:t>C(&lt;=1450) </a:t>
          </a:r>
          <a:r>
            <a:rPr lang="ko-KR" altLang="en-US" sz="1100" baseline="0"/>
            <a:t>이다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N &lt;= P</a:t>
          </a:r>
          <a:r>
            <a:rPr lang="ko-KR" altLang="en-US" sz="1100" baseline="0"/>
            <a:t>이며 학생들은 </a:t>
          </a:r>
          <a:r>
            <a:rPr lang="en-US" altLang="ko-KR" sz="1100" baseline="0"/>
            <a:t>P</a:t>
          </a:r>
          <a:r>
            <a:rPr lang="ko-KR" altLang="en-US" sz="1100" baseline="0"/>
            <a:t>개의 장소중에 한 곳에서 모인다</a:t>
          </a:r>
          <a:r>
            <a:rPr lang="en-US" altLang="ko-KR" sz="1100" baseline="0"/>
            <a:t>.</a:t>
          </a:r>
        </a:p>
        <a:p>
          <a:endParaRPr lang="en-US" altLang="ko-KR" sz="1100" baseline="0"/>
        </a:p>
        <a:p>
          <a:r>
            <a:rPr lang="ko-KR" altLang="en-US" sz="1100" baseline="0"/>
            <a:t>모든 가능한 장소를 모임 장소로 할 때 이동시간의 합을 구하고</a:t>
          </a:r>
          <a:endParaRPr lang="en-US" altLang="ko-KR" sz="1100" baseline="0"/>
        </a:p>
        <a:p>
          <a:r>
            <a:rPr lang="ko-KR" altLang="en-US" sz="1100" baseline="0"/>
            <a:t>그중 최소를 출력하는 것으로 문제를 해결할 수 있다</a:t>
          </a:r>
          <a:r>
            <a:rPr lang="en-US" altLang="ko-KR" sz="1100" baseline="0"/>
            <a:t>.</a:t>
          </a:r>
        </a:p>
        <a:p>
          <a:endParaRPr lang="en-US" altLang="ko-KR" sz="1100" baseline="0"/>
        </a:p>
        <a:p>
          <a:r>
            <a:rPr lang="ko-KR" altLang="en-US" sz="1100" baseline="0"/>
            <a:t>이때 </a:t>
          </a:r>
          <a:r>
            <a:rPr lang="en-US" altLang="ko-KR" sz="1100" baseline="0"/>
            <a:t>E*log(v) </a:t>
          </a:r>
          <a:r>
            <a:rPr lang="ko-KR" altLang="en-US" sz="1100" baseline="0"/>
            <a:t>다익스트라를 사용하는 경우 </a:t>
          </a:r>
          <a:br>
            <a:rPr lang="en-US" altLang="ko-KR" sz="1100" baseline="0"/>
          </a:br>
          <a:r>
            <a:rPr lang="ko-KR" altLang="en-US" sz="1100" baseline="0"/>
            <a:t>시간복잡도는 </a:t>
          </a:r>
          <a:r>
            <a:rPr lang="en-US" altLang="ko-KR" sz="1100" baseline="0"/>
            <a:t>O(</a:t>
          </a:r>
          <a:r>
            <a:rPr lang="ko-KR" altLang="en-US" sz="1100" baseline="0"/>
            <a:t> </a:t>
          </a:r>
          <a:r>
            <a:rPr lang="en-US" altLang="ko-KR" sz="1100" baseline="0"/>
            <a:t>P * C * log(P)) </a:t>
          </a:r>
          <a:r>
            <a:rPr lang="ko-KR" altLang="en-US" sz="1100" baseline="0"/>
            <a:t>이므로</a:t>
          </a:r>
          <a:endParaRPr lang="en-US" altLang="ko-KR" sz="1100" baseline="0"/>
        </a:p>
        <a:p>
          <a:r>
            <a:rPr lang="ko-KR" altLang="en-US" sz="1100" baseline="0"/>
            <a:t>약</a:t>
          </a:r>
          <a:r>
            <a:rPr lang="en-US" altLang="ko-KR" sz="1100" baseline="0"/>
            <a:t> 800 * 1450 * 10 = 11,600,000 </a:t>
          </a:r>
          <a:r>
            <a:rPr lang="ko-KR" altLang="en-US" sz="1100" baseline="0"/>
            <a:t>이다</a:t>
          </a:r>
          <a:r>
            <a:rPr lang="en-US" altLang="ko-KR" sz="1100" baseline="0"/>
            <a:t>.</a:t>
          </a:r>
          <a:endParaRPr lang="ko-KR" altLang="en-US" sz="1100"/>
        </a:p>
      </xdr:txBody>
    </xdr:sp>
    <xdr:clientData/>
  </xdr:twoCellAnchor>
  <xdr:twoCellAnchor>
    <xdr:from>
      <xdr:col>15</xdr:col>
      <xdr:colOff>399377</xdr:colOff>
      <xdr:row>17</xdr:row>
      <xdr:rowOff>198791</xdr:rowOff>
    </xdr:from>
    <xdr:to>
      <xdr:col>16</xdr:col>
      <xdr:colOff>247985</xdr:colOff>
      <xdr:row>20</xdr:row>
      <xdr:rowOff>58606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4880A37B-0D8E-7CAE-AC9D-7248A3DCCB76}"/>
            </a:ext>
          </a:extLst>
        </xdr:cNvPr>
        <xdr:cNvSpPr/>
      </xdr:nvSpPr>
      <xdr:spPr>
        <a:xfrm>
          <a:off x="9333827" y="3932591"/>
          <a:ext cx="515358" cy="51704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1</a:t>
          </a:r>
          <a:endParaRPr lang="ko-KR" altLang="en-US" sz="1100"/>
        </a:p>
      </xdr:txBody>
    </xdr:sp>
    <xdr:clientData/>
  </xdr:twoCellAnchor>
  <xdr:twoCellAnchor>
    <xdr:from>
      <xdr:col>18</xdr:col>
      <xdr:colOff>73621</xdr:colOff>
      <xdr:row>17</xdr:row>
      <xdr:rowOff>188369</xdr:rowOff>
    </xdr:from>
    <xdr:to>
      <xdr:col>18</xdr:col>
      <xdr:colOff>592790</xdr:colOff>
      <xdr:row>20</xdr:row>
      <xdr:rowOff>40564</xdr:rowOff>
    </xdr:to>
    <xdr:sp macro="" textlink="">
      <xdr:nvSpPr>
        <xdr:cNvPr id="4" name="타원 3">
          <a:extLst>
            <a:ext uri="{FF2B5EF4-FFF2-40B4-BE49-F238E27FC236}">
              <a16:creationId xmlns:a16="http://schemas.microsoft.com/office/drawing/2014/main" id="{C3CB10A7-4FE0-2C3F-0617-77804028BF59}"/>
            </a:ext>
          </a:extLst>
        </xdr:cNvPr>
        <xdr:cNvSpPr/>
      </xdr:nvSpPr>
      <xdr:spPr>
        <a:xfrm>
          <a:off x="11008321" y="3922169"/>
          <a:ext cx="519169" cy="50942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2</a:t>
          </a:r>
          <a:endParaRPr lang="ko-KR" altLang="en-US" sz="1100"/>
        </a:p>
      </xdr:txBody>
    </xdr:sp>
    <xdr:clientData/>
  </xdr:twoCellAnchor>
  <xdr:twoCellAnchor>
    <xdr:from>
      <xdr:col>18</xdr:col>
      <xdr:colOff>75302</xdr:colOff>
      <xdr:row>24</xdr:row>
      <xdr:rowOff>68130</xdr:rowOff>
    </xdr:from>
    <xdr:to>
      <xdr:col>18</xdr:col>
      <xdr:colOff>592566</xdr:colOff>
      <xdr:row>26</xdr:row>
      <xdr:rowOff>143210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A4B5B5F3-26C4-9E14-700D-EFA4298C2874}"/>
            </a:ext>
          </a:extLst>
        </xdr:cNvPr>
        <xdr:cNvSpPr/>
      </xdr:nvSpPr>
      <xdr:spPr>
        <a:xfrm>
          <a:off x="11010002" y="5335455"/>
          <a:ext cx="517264" cy="51323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3</a:t>
          </a:r>
          <a:endParaRPr lang="ko-KR" altLang="en-US" sz="1100"/>
        </a:p>
      </xdr:txBody>
    </xdr:sp>
    <xdr:clientData/>
  </xdr:twoCellAnchor>
  <xdr:twoCellAnchor>
    <xdr:from>
      <xdr:col>15</xdr:col>
      <xdr:colOff>439829</xdr:colOff>
      <xdr:row>24</xdr:row>
      <xdr:rowOff>45717</xdr:rowOff>
    </xdr:from>
    <xdr:to>
      <xdr:col>16</xdr:col>
      <xdr:colOff>282722</xdr:colOff>
      <xdr:row>26</xdr:row>
      <xdr:rowOff>125840</xdr:rowOff>
    </xdr:to>
    <xdr:sp macro="" textlink="">
      <xdr:nvSpPr>
        <xdr:cNvPr id="6" name="타원 5">
          <a:extLst>
            <a:ext uri="{FF2B5EF4-FFF2-40B4-BE49-F238E27FC236}">
              <a16:creationId xmlns:a16="http://schemas.microsoft.com/office/drawing/2014/main" id="{D2B6745C-EE22-83B4-8BA0-A7F490A1F347}"/>
            </a:ext>
          </a:extLst>
        </xdr:cNvPr>
        <xdr:cNvSpPr/>
      </xdr:nvSpPr>
      <xdr:spPr>
        <a:xfrm>
          <a:off x="9374279" y="5313042"/>
          <a:ext cx="509643" cy="51827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4</a:t>
          </a:r>
          <a:endParaRPr lang="ko-KR" altLang="en-US" sz="1100"/>
        </a:p>
      </xdr:txBody>
    </xdr:sp>
    <xdr:clientData/>
  </xdr:twoCellAnchor>
  <xdr:twoCellAnchor>
    <xdr:from>
      <xdr:col>16</xdr:col>
      <xdr:colOff>244175</xdr:colOff>
      <xdr:row>19</xdr:row>
      <xdr:rowOff>4929</xdr:rowOff>
    </xdr:from>
    <xdr:to>
      <xdr:col>18</xdr:col>
      <xdr:colOff>73621</xdr:colOff>
      <xdr:row>19</xdr:row>
      <xdr:rowOff>18209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E0385C9E-1F55-11A7-25CF-07EF900E93F1}"/>
            </a:ext>
          </a:extLst>
        </xdr:cNvPr>
        <xdr:cNvCxnSpPr>
          <a:stCxn id="3" idx="6"/>
          <a:endCxn id="4" idx="2"/>
        </xdr:cNvCxnSpPr>
      </xdr:nvCxnSpPr>
      <xdr:spPr>
        <a:xfrm flipV="1">
          <a:off x="9845375" y="4176879"/>
          <a:ext cx="1162946" cy="132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169818</xdr:colOff>
      <xdr:row>19</xdr:row>
      <xdr:rowOff>198989</xdr:rowOff>
    </xdr:from>
    <xdr:to>
      <xdr:col>18</xdr:col>
      <xdr:colOff>150496</xdr:colOff>
      <xdr:row>24</xdr:row>
      <xdr:rowOff>141386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3990A697-CF2B-E26C-A0B8-EE015BF5097A}"/>
            </a:ext>
          </a:extLst>
        </xdr:cNvPr>
        <xdr:cNvCxnSpPr>
          <a:stCxn id="3" idx="5"/>
          <a:endCxn id="5" idx="1"/>
        </xdr:cNvCxnSpPr>
      </xdr:nvCxnSpPr>
      <xdr:spPr>
        <a:xfrm>
          <a:off x="9771018" y="4370939"/>
          <a:ext cx="1314178" cy="10377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331301</xdr:colOff>
      <xdr:row>20</xdr:row>
      <xdr:rowOff>40564</xdr:rowOff>
    </xdr:from>
    <xdr:to>
      <xdr:col>18</xdr:col>
      <xdr:colOff>332029</xdr:colOff>
      <xdr:row>24</xdr:row>
      <xdr:rowOff>66225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29F1FA14-EE01-A046-0633-DA08E249BBFF}"/>
            </a:ext>
          </a:extLst>
        </xdr:cNvPr>
        <xdr:cNvCxnSpPr>
          <a:stCxn id="4" idx="4"/>
          <a:endCxn id="5" idx="0"/>
        </xdr:cNvCxnSpPr>
      </xdr:nvCxnSpPr>
      <xdr:spPr>
        <a:xfrm>
          <a:off x="11266001" y="4431589"/>
          <a:ext cx="728" cy="90196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210781</xdr:colOff>
      <xdr:row>19</xdr:row>
      <xdr:rowOff>185036</xdr:rowOff>
    </xdr:from>
    <xdr:to>
      <xdr:col>18</xdr:col>
      <xdr:colOff>149094</xdr:colOff>
      <xdr:row>24</xdr:row>
      <xdr:rowOff>123800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9C422B8C-5EFC-C849-4EC0-FA1CCE92DD2E}"/>
            </a:ext>
          </a:extLst>
        </xdr:cNvPr>
        <xdr:cNvCxnSpPr>
          <a:stCxn id="4" idx="3"/>
          <a:endCxn id="6" idx="7"/>
        </xdr:cNvCxnSpPr>
      </xdr:nvCxnSpPr>
      <xdr:spPr>
        <a:xfrm flipH="1">
          <a:off x="9811981" y="4356986"/>
          <a:ext cx="1271813" cy="103413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286532</xdr:colOff>
      <xdr:row>25</xdr:row>
      <xdr:rowOff>88636</xdr:rowOff>
    </xdr:from>
    <xdr:to>
      <xdr:col>18</xdr:col>
      <xdr:colOff>75302</xdr:colOff>
      <xdr:row>25</xdr:row>
      <xdr:rowOff>103765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4D7F5BA3-7E4B-5004-D8E8-0FD9B1208B61}"/>
            </a:ext>
          </a:extLst>
        </xdr:cNvPr>
        <xdr:cNvCxnSpPr>
          <a:stCxn id="5" idx="2"/>
          <a:endCxn id="6" idx="6"/>
        </xdr:cNvCxnSpPr>
      </xdr:nvCxnSpPr>
      <xdr:spPr>
        <a:xfrm flipH="1" flipV="1">
          <a:off x="9887732" y="5575036"/>
          <a:ext cx="1122270" cy="1512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600075</xdr:colOff>
      <xdr:row>17</xdr:row>
      <xdr:rowOff>76200</xdr:rowOff>
    </xdr:from>
    <xdr:to>
      <xdr:col>17</xdr:col>
      <xdr:colOff>314325</xdr:colOff>
      <xdr:row>18</xdr:row>
      <xdr:rowOff>142875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2A6E7FB-6109-5AE9-FAB9-17A127081FF4}"/>
            </a:ext>
          </a:extLst>
        </xdr:cNvPr>
        <xdr:cNvSpPr txBox="1"/>
      </xdr:nvSpPr>
      <xdr:spPr>
        <a:xfrm>
          <a:off x="10201275" y="3810000"/>
          <a:ext cx="381000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1</a:t>
          </a:r>
          <a:endParaRPr lang="ko-KR" altLang="en-US" sz="1100"/>
        </a:p>
      </xdr:txBody>
    </xdr:sp>
    <xdr:clientData/>
  </xdr:twoCellAnchor>
  <xdr:twoCellAnchor>
    <xdr:from>
      <xdr:col>17</xdr:col>
      <xdr:colOff>350520</xdr:colOff>
      <xdr:row>22</xdr:row>
      <xdr:rowOff>142875</xdr:rowOff>
    </xdr:from>
    <xdr:to>
      <xdr:col>18</xdr:col>
      <xdr:colOff>68580</xdr:colOff>
      <xdr:row>23</xdr:row>
      <xdr:rowOff>207645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D517259-53DD-10D6-7443-FE7FDA1AA8C0}"/>
            </a:ext>
          </a:extLst>
        </xdr:cNvPr>
        <xdr:cNvSpPr txBox="1"/>
      </xdr:nvSpPr>
      <xdr:spPr>
        <a:xfrm>
          <a:off x="10618470" y="4972050"/>
          <a:ext cx="384810" cy="2838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5</a:t>
          </a:r>
          <a:endParaRPr lang="ko-KR" altLang="en-US" sz="1100"/>
        </a:p>
      </xdr:txBody>
    </xdr:sp>
    <xdr:clientData/>
  </xdr:twoCellAnchor>
  <xdr:twoCellAnchor>
    <xdr:from>
      <xdr:col>18</xdr:col>
      <xdr:colOff>264795</xdr:colOff>
      <xdr:row>21</xdr:row>
      <xdr:rowOff>123825</xdr:rowOff>
    </xdr:from>
    <xdr:to>
      <xdr:col>18</xdr:col>
      <xdr:colOff>649605</xdr:colOff>
      <xdr:row>22</xdr:row>
      <xdr:rowOff>188595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BEA1B034-43CC-E977-C0C3-C62465B95D26}"/>
            </a:ext>
          </a:extLst>
        </xdr:cNvPr>
        <xdr:cNvSpPr txBox="1"/>
      </xdr:nvSpPr>
      <xdr:spPr>
        <a:xfrm>
          <a:off x="11199495" y="4733925"/>
          <a:ext cx="384810" cy="2838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7</a:t>
          </a:r>
          <a:endParaRPr lang="ko-KR" altLang="en-US" sz="1100"/>
        </a:p>
      </xdr:txBody>
    </xdr:sp>
    <xdr:clientData/>
  </xdr:twoCellAnchor>
  <xdr:twoCellAnchor>
    <xdr:from>
      <xdr:col>16</xdr:col>
      <xdr:colOff>314491</xdr:colOff>
      <xdr:row>22</xdr:row>
      <xdr:rowOff>191991</xdr:rowOff>
    </xdr:from>
    <xdr:to>
      <xdr:col>17</xdr:col>
      <xdr:colOff>28410</xdr:colOff>
      <xdr:row>24</xdr:row>
      <xdr:rowOff>39507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91F616B4-EFD0-4214-F24C-55A6B2628199}"/>
            </a:ext>
          </a:extLst>
        </xdr:cNvPr>
        <xdr:cNvSpPr txBox="1"/>
      </xdr:nvSpPr>
      <xdr:spPr>
        <a:xfrm>
          <a:off x="9963730" y="4946208"/>
          <a:ext cx="384810" cy="2782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3</a:t>
          </a:r>
          <a:endParaRPr lang="ko-KR" altLang="en-US" sz="1100"/>
        </a:p>
      </xdr:txBody>
    </xdr:sp>
    <xdr:clientData/>
  </xdr:twoCellAnchor>
  <xdr:twoCellAnchor>
    <xdr:from>
      <xdr:col>17</xdr:col>
      <xdr:colOff>95664</xdr:colOff>
      <xdr:row>24</xdr:row>
      <xdr:rowOff>157535</xdr:rowOff>
    </xdr:from>
    <xdr:to>
      <xdr:col>17</xdr:col>
      <xdr:colOff>480806</xdr:colOff>
      <xdr:row>26</xdr:row>
      <xdr:rowOff>12672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E6D702C-80FA-CCC4-A33A-8B9729A23231}"/>
            </a:ext>
          </a:extLst>
        </xdr:cNvPr>
        <xdr:cNvSpPr txBox="1"/>
      </xdr:nvSpPr>
      <xdr:spPr>
        <a:xfrm>
          <a:off x="10415794" y="5342448"/>
          <a:ext cx="385142" cy="2858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5</a:t>
          </a:r>
          <a:endParaRPr lang="ko-KR" altLang="en-US" sz="1100"/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487680</xdr:colOff>
      <xdr:row>40</xdr:row>
      <xdr:rowOff>85725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CC1962C2-6651-4D67-AD56-F8CB6B18DA29}"/>
            </a:ext>
          </a:extLst>
        </xdr:cNvPr>
        <xdr:cNvGrpSpPr/>
      </xdr:nvGrpSpPr>
      <xdr:grpSpPr>
        <a:xfrm>
          <a:off x="509954" y="228600"/>
          <a:ext cx="7169834" cy="8784248"/>
          <a:chOff x="695325" y="28575"/>
          <a:chExt cx="7350510" cy="8258175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A83B7A97-E0D6-6152-98D5-BD35B52C222F}"/>
              </a:ext>
            </a:extLst>
          </xdr:cNvPr>
          <xdr:cNvSpPr txBox="1"/>
        </xdr:nvSpPr>
        <xdr:spPr>
          <a:xfrm>
            <a:off x="695325" y="28575"/>
            <a:ext cx="7350510" cy="82581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100" b="1"/>
              <a:t>[</a:t>
            </a:r>
            <a:r>
              <a:rPr lang="ko-KR" altLang="en-US" sz="1100" b="1"/>
              <a:t>문제 개요</a:t>
            </a:r>
            <a:r>
              <a:rPr lang="en-US" altLang="ko-KR" sz="1100" b="1"/>
              <a:t>]</a:t>
            </a:r>
          </a:p>
          <a:p>
            <a:r>
              <a:rPr lang="en-US" altLang="ko-KR" sz="1100"/>
              <a:t>N( &lt;= 50'000)</a:t>
            </a:r>
            <a:r>
              <a:rPr lang="ko-KR" altLang="en-US" sz="1100"/>
              <a:t>명의 학생들이 각각 </a:t>
            </a:r>
            <a:r>
              <a:rPr lang="en-US" altLang="ko-KR" sz="1100"/>
              <a:t>1</a:t>
            </a:r>
            <a:r>
              <a:rPr lang="ko-KR" altLang="en-US" sz="1100"/>
              <a:t>개의 종료를 갖고 있다</a:t>
            </a:r>
            <a:r>
              <a:rPr lang="en-US" altLang="ko-KR" sz="1100"/>
              <a:t>.</a:t>
            </a:r>
          </a:p>
          <a:p>
            <a:r>
              <a:rPr lang="ko-KR" altLang="en-US" sz="1100"/>
              <a:t>이들 중 어느 </a:t>
            </a:r>
            <a:r>
              <a:rPr lang="en-US" altLang="ko-KR" sz="1100"/>
              <a:t>2</a:t>
            </a:r>
            <a:r>
              <a:rPr lang="ko-KR" altLang="en-US" sz="1100"/>
              <a:t>명의 종교가 같다는 정보가 </a:t>
            </a:r>
            <a:r>
              <a:rPr lang="en-US" altLang="ko-KR" sz="1100"/>
              <a:t>M( &lt;= 100'000)</a:t>
            </a:r>
            <a:r>
              <a:rPr lang="ko-KR" altLang="en-US" sz="1100"/>
              <a:t>개 주어진다</a:t>
            </a:r>
            <a:r>
              <a:rPr lang="en-US" altLang="ko-KR" sz="1100"/>
              <a:t>.</a:t>
            </a:r>
          </a:p>
          <a:p>
            <a:r>
              <a:rPr lang="ko-KR" altLang="en-US" sz="1100"/>
              <a:t>이때</a:t>
            </a:r>
            <a:r>
              <a:rPr lang="en-US" altLang="ko-KR" sz="1100"/>
              <a:t>, N</a:t>
            </a:r>
            <a:r>
              <a:rPr lang="ko-KR" altLang="en-US" sz="1100"/>
              <a:t>명의 학생들이 최대로 가질 수 있는 종교의 수를 구하시오</a:t>
            </a:r>
            <a:r>
              <a:rPr lang="en-US" altLang="ko-KR" sz="1100"/>
              <a:t>.</a:t>
            </a:r>
          </a:p>
          <a:p>
            <a:endParaRPr lang="en-US" altLang="ko-KR" sz="1100"/>
          </a:p>
          <a:p>
            <a:r>
              <a:rPr lang="en-US" altLang="ko-KR" sz="1100" b="1"/>
              <a:t>[</a:t>
            </a:r>
            <a:r>
              <a:rPr lang="ko-KR" altLang="en-US" sz="1100" b="1"/>
              <a:t>문제 분석 </a:t>
            </a:r>
            <a:r>
              <a:rPr lang="en-US" altLang="ko-KR" sz="1100" b="1"/>
              <a:t>: </a:t>
            </a:r>
            <a:r>
              <a:rPr lang="ko-KR" altLang="en-US" sz="1100" b="1"/>
              <a:t>지문</a:t>
            </a:r>
            <a:r>
              <a:rPr lang="en-US" altLang="ko-KR" sz="1100" b="1"/>
              <a:t>]</a:t>
            </a:r>
          </a:p>
          <a:p>
            <a:r>
              <a:rPr lang="ko-KR" altLang="en-US" sz="1100"/>
              <a:t>어드 </a:t>
            </a:r>
            <a:r>
              <a:rPr lang="en-US" altLang="ko-KR" sz="1100"/>
              <a:t>2</a:t>
            </a:r>
            <a:r>
              <a:rPr lang="ko-KR" altLang="en-US" sz="1100"/>
              <a:t>명의 종교가 같다는 것은 알려주지만 종교의 종류를 알려주진 않는다</a:t>
            </a:r>
            <a:r>
              <a:rPr lang="en-US" altLang="ko-KR" sz="1100"/>
              <a:t>.</a:t>
            </a:r>
          </a:p>
          <a:p>
            <a:r>
              <a:rPr lang="ko-KR" altLang="en-US" sz="1100"/>
              <a:t>문제를 해결하는데 있어 종교의 종류는 몰라도 된다</a:t>
            </a:r>
            <a:r>
              <a:rPr lang="en-US" altLang="ko-KR" sz="1100"/>
              <a:t>.</a:t>
            </a:r>
          </a:p>
          <a:p>
            <a:r>
              <a:rPr lang="ko-KR" altLang="en-US" sz="1100"/>
              <a:t>서로 다른 종교수의 최대값을 알아내는 것으로 족하다</a:t>
            </a:r>
            <a:r>
              <a:rPr lang="en-US" altLang="ko-KR" sz="1100"/>
              <a:t>.</a:t>
            </a:r>
          </a:p>
          <a:p>
            <a:endParaRPr lang="en-US" altLang="ko-KR" sz="1100"/>
          </a:p>
          <a:p>
            <a:r>
              <a:rPr lang="en-US" altLang="ko-KR" sz="1100"/>
              <a:t>Union Find</a:t>
            </a:r>
            <a:r>
              <a:rPr lang="ko-KR" altLang="en-US" sz="1100"/>
              <a:t>를 학습하는 개념문제이다</a:t>
            </a:r>
            <a:r>
              <a:rPr lang="en-US" altLang="ko-KR" sz="1100"/>
              <a:t>.</a:t>
            </a:r>
          </a:p>
          <a:p>
            <a:endParaRPr lang="en-US" altLang="ko-KR" sz="1100"/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[</a:t>
            </a:r>
            <a:r>
              <a:rPr lang="ko-KR" altLang="ko-KR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문제 분석 </a:t>
            </a:r>
            <a:r>
              <a:rPr lang="en-US" altLang="ko-KR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: </a:t>
            </a:r>
            <a:r>
              <a:rPr lang="ko-KR" altLang="en-US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예제</a:t>
            </a:r>
            <a:r>
              <a:rPr lang="en-US" altLang="ko-KR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]</a:t>
            </a:r>
            <a:endParaRPr lang="ko-KR" altLang="ko-KR" b="1">
              <a:effectLst/>
            </a:endParaRPr>
          </a:p>
          <a:p>
            <a:pPr rtl="0" eaLnBrk="1" latinLnBrk="1" hangingPunct="1"/>
            <a:r>
              <a:rPr lang="en-US" altLang="ko-KR" sz="1100">
                <a:solidFill>
                  <a:schemeClr val="dk1"/>
                </a:solidFill>
                <a:effectLst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[</a:t>
            </a:r>
            <a:r>
              <a:rPr lang="ko-KR" altLang="ko-KR" sz="1100">
                <a:solidFill>
                  <a:schemeClr val="dk1"/>
                </a:solidFill>
                <a:effectLst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입력 예</a:t>
            </a:r>
            <a:r>
              <a:rPr lang="en-US" altLang="ko-KR" sz="1100">
                <a:solidFill>
                  <a:schemeClr val="dk1"/>
                </a:solidFill>
                <a:effectLst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]       [</a:t>
            </a:r>
            <a:r>
              <a:rPr lang="ko-KR" altLang="en-US" sz="1100">
                <a:solidFill>
                  <a:schemeClr val="dk1"/>
                </a:solidFill>
                <a:effectLst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출력 예</a:t>
            </a:r>
            <a:r>
              <a:rPr lang="en-US" altLang="ko-KR" sz="1100">
                <a:solidFill>
                  <a:schemeClr val="dk1"/>
                </a:solidFill>
                <a:effectLst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]</a:t>
            </a:r>
            <a:endParaRPr lang="ko-KR" altLang="ko-KR">
              <a:effectLst/>
              <a:latin typeface="D2Coding" panose="020B0609020101020101" pitchFamily="49" charset="-127"/>
              <a:ea typeface="D2Coding" panose="020B0609020101020101" pitchFamily="49" charset="-127"/>
            </a:endParaRPr>
          </a:p>
          <a:p>
            <a:pPr rtl="0" eaLnBrk="1" latinLnBrk="1" hangingPunct="1"/>
            <a:r>
              <a:rPr lang="en-US" altLang="ko-KR" sz="1100">
                <a:solidFill>
                  <a:schemeClr val="dk1"/>
                </a:solidFill>
                <a:effectLst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10 9            1</a:t>
            </a:r>
            <a:endParaRPr lang="ko-KR" altLang="ko-KR">
              <a:effectLst/>
              <a:latin typeface="D2Coding" panose="020B0609020101020101" pitchFamily="49" charset="-127"/>
              <a:ea typeface="D2Coding" panose="020B0609020101020101" pitchFamily="49" charset="-127"/>
            </a:endParaRPr>
          </a:p>
          <a:p>
            <a:pPr rtl="0" eaLnBrk="1" latinLnBrk="1" hangingPunct="1"/>
            <a:r>
              <a:rPr lang="en-US" altLang="ko-KR" sz="1100">
                <a:solidFill>
                  <a:schemeClr val="dk1"/>
                </a:solidFill>
                <a:effectLst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1 2</a:t>
            </a:r>
            <a:endParaRPr lang="ko-KR" altLang="ko-KR">
              <a:effectLst/>
              <a:latin typeface="D2Coding" panose="020B0609020101020101" pitchFamily="49" charset="-127"/>
              <a:ea typeface="D2Coding" panose="020B0609020101020101" pitchFamily="49" charset="-127"/>
            </a:endParaRPr>
          </a:p>
          <a:p>
            <a:pPr rtl="0" eaLnBrk="1" latinLnBrk="1" hangingPunct="1"/>
            <a:r>
              <a:rPr lang="en-US" altLang="ko-KR" sz="1100">
                <a:solidFill>
                  <a:schemeClr val="dk1"/>
                </a:solidFill>
                <a:effectLst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1 3</a:t>
            </a:r>
            <a:endParaRPr lang="ko-KR" altLang="ko-KR">
              <a:effectLst/>
              <a:latin typeface="D2Coding" panose="020B0609020101020101" pitchFamily="49" charset="-127"/>
              <a:ea typeface="D2Coding" panose="020B0609020101020101" pitchFamily="49" charset="-127"/>
            </a:endParaRPr>
          </a:p>
          <a:p>
            <a:pPr rtl="0" eaLnBrk="1" latinLnBrk="1" hangingPunct="1"/>
            <a:r>
              <a:rPr lang="en-US" altLang="ko-KR" sz="1100">
                <a:solidFill>
                  <a:schemeClr val="dk1"/>
                </a:solidFill>
                <a:effectLst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1 4</a:t>
            </a:r>
            <a:endParaRPr lang="ko-KR" altLang="ko-KR">
              <a:effectLst/>
              <a:latin typeface="D2Coding" panose="020B0609020101020101" pitchFamily="49" charset="-127"/>
              <a:ea typeface="D2Coding" panose="020B0609020101020101" pitchFamily="49" charset="-127"/>
            </a:endParaRPr>
          </a:p>
          <a:p>
            <a:pPr rtl="0" eaLnBrk="1" latinLnBrk="1" hangingPunct="1"/>
            <a:r>
              <a:rPr lang="en-US" altLang="ko-KR" sz="1100">
                <a:solidFill>
                  <a:schemeClr val="dk1"/>
                </a:solidFill>
                <a:effectLst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1 5</a:t>
            </a:r>
            <a:endParaRPr lang="ko-KR" altLang="ko-KR">
              <a:effectLst/>
              <a:latin typeface="D2Coding" panose="020B0609020101020101" pitchFamily="49" charset="-127"/>
              <a:ea typeface="D2Coding" panose="020B0609020101020101" pitchFamily="49" charset="-127"/>
            </a:endParaRPr>
          </a:p>
          <a:p>
            <a:pPr rtl="0" eaLnBrk="1" latinLnBrk="1" hangingPunct="1"/>
            <a:r>
              <a:rPr lang="en-US" altLang="ko-KR" sz="1100">
                <a:solidFill>
                  <a:schemeClr val="dk1"/>
                </a:solidFill>
                <a:effectLst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1 6</a:t>
            </a:r>
            <a:endParaRPr lang="ko-KR" altLang="ko-KR">
              <a:effectLst/>
              <a:latin typeface="D2Coding" panose="020B0609020101020101" pitchFamily="49" charset="-127"/>
              <a:ea typeface="D2Coding" panose="020B0609020101020101" pitchFamily="49" charset="-127"/>
            </a:endParaRPr>
          </a:p>
          <a:p>
            <a:pPr rtl="0" eaLnBrk="1" latinLnBrk="1" hangingPunct="1"/>
            <a:r>
              <a:rPr lang="en-US" altLang="ko-KR" sz="1100">
                <a:solidFill>
                  <a:schemeClr val="dk1"/>
                </a:solidFill>
                <a:effectLst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1 7</a:t>
            </a:r>
            <a:endParaRPr lang="ko-KR" altLang="ko-KR">
              <a:effectLst/>
              <a:latin typeface="D2Coding" panose="020B0609020101020101" pitchFamily="49" charset="-127"/>
              <a:ea typeface="D2Coding" panose="020B0609020101020101" pitchFamily="49" charset="-127"/>
            </a:endParaRPr>
          </a:p>
          <a:p>
            <a:pPr rtl="0" eaLnBrk="1" latinLnBrk="1" hangingPunct="1"/>
            <a:r>
              <a:rPr lang="en-US" altLang="ko-KR" sz="1100">
                <a:solidFill>
                  <a:schemeClr val="dk1"/>
                </a:solidFill>
                <a:effectLst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1 8</a:t>
            </a:r>
            <a:endParaRPr lang="ko-KR" altLang="ko-KR">
              <a:effectLst/>
              <a:latin typeface="D2Coding" panose="020B0609020101020101" pitchFamily="49" charset="-127"/>
              <a:ea typeface="D2Coding" panose="020B0609020101020101" pitchFamily="49" charset="-127"/>
            </a:endParaRPr>
          </a:p>
          <a:p>
            <a:pPr rtl="0" eaLnBrk="1" latinLnBrk="1" hangingPunct="1"/>
            <a:r>
              <a:rPr lang="en-US" altLang="ko-KR" sz="1100">
                <a:solidFill>
                  <a:schemeClr val="dk1"/>
                </a:solidFill>
                <a:effectLst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1 9</a:t>
            </a:r>
            <a:endParaRPr lang="ko-KR" altLang="ko-KR">
              <a:effectLst/>
              <a:latin typeface="D2Coding" panose="020B0609020101020101" pitchFamily="49" charset="-127"/>
              <a:ea typeface="D2Coding" panose="020B0609020101020101" pitchFamily="49" charset="-127"/>
            </a:endParaRPr>
          </a:p>
          <a:p>
            <a:pPr rtl="0" eaLnBrk="1" latinLnBrk="1" hangingPunct="1"/>
            <a:r>
              <a:rPr lang="en-US" altLang="ko-KR" sz="1100">
                <a:solidFill>
                  <a:schemeClr val="dk1"/>
                </a:solidFill>
                <a:effectLst/>
                <a:latin typeface="D2Coding" panose="020B0609020101020101" pitchFamily="49" charset="-127"/>
                <a:ea typeface="D2Coding" panose="020B0609020101020101" pitchFamily="49" charset="-127"/>
                <a:cs typeface="+mn-cs"/>
              </a:rPr>
              <a:t>1 10</a:t>
            </a:r>
          </a:p>
          <a:p>
            <a:pPr rtl="0" eaLnBrk="1" latinLnBrk="1" hangingPunct="1"/>
            <a:endPara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rtl="0" eaLnBrk="1" latinLnBrk="1" hangingPunct="1"/>
            <a:endPara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rtl="0" eaLnBrk="1" latinLnBrk="1" hangingPunct="1"/>
            <a:r>
              <a:rPr lang="en-US" altLang="ko-KR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[</a:t>
            </a:r>
            <a:r>
              <a:rPr lang="ko-KR" altLang="en-US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해결 전략 </a:t>
            </a:r>
            <a:r>
              <a:rPr lang="en-US" altLang="ko-KR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1]</a:t>
            </a:r>
          </a:p>
          <a:p>
            <a:pPr rtl="0" eaLnBrk="1" latinLnBrk="1" hangingPunct="1"/>
            <a:r>
              <a:rPr lang="ko-KR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먼저 배열 또는 리스트를 이용해 표현되는 배타적 집합에서 무게를 고려한 </a:t>
            </a:r>
            <a:r>
              <a:rPr lang="en-US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Union</a:t>
            </a:r>
            <a:r>
              <a:rPr lang="ko-KR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을 사용</a:t>
            </a:r>
            <a:r>
              <a:rPr lang="ko-KR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하여 해결 할 수 있다</a:t>
            </a:r>
            <a:r>
              <a:rPr lang="en-US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.</a:t>
            </a:r>
            <a:endParaRPr lang="ko-KR" altLang="ko-KR" sz="1100">
              <a:effectLst/>
            </a:endParaRPr>
          </a:p>
          <a:p>
            <a:pPr rtl="0" eaLnBrk="1" latinLnBrk="1" hangingPunct="1"/>
            <a:r>
              <a:rPr lang="en-US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</a:t>
            </a:r>
            <a:r>
              <a:rPr lang="ko-KR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번 학생의 종교는 </a:t>
            </a:r>
            <a:r>
              <a:rPr lang="en-US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</a:t>
            </a:r>
            <a:r>
              <a:rPr lang="ko-KR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라고 놓을 수 있다</a:t>
            </a:r>
            <a:r>
              <a:rPr lang="en-US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.</a:t>
            </a:r>
            <a:endParaRPr lang="ko-KR" altLang="ko-KR">
              <a:effectLst/>
            </a:endParaRPr>
          </a:p>
          <a:p>
            <a:pPr rtl="0" eaLnBrk="1" latinLnBrk="1" hangingPunct="1"/>
            <a:r>
              <a:rPr lang="ko-KR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같은 종교를 가진 학생을 하나의 </a:t>
            </a:r>
            <a:r>
              <a:rPr lang="ko-KR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동적</a:t>
            </a:r>
            <a:r>
              <a:rPr lang="ko-KR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배열 또는 리스트로 관리 할 수 있다</a:t>
            </a:r>
            <a:r>
              <a:rPr lang="en-US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.</a:t>
            </a:r>
          </a:p>
          <a:p>
            <a:pPr rtl="0" eaLnBrk="1" latinLnBrk="1" hangingPunct="1"/>
            <a:endPara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rtl="0" eaLnBrk="1" latinLnBrk="1" hangingPunct="1"/>
            <a:endPara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rtl="0" eaLnBrk="1" latinLnBrk="1" hangingPunct="1"/>
            <a:r>
              <a:rPr lang="en-US" altLang="ko-KR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[</a:t>
            </a:r>
            <a:r>
              <a:rPr lang="ko-KR" altLang="en-US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해결 전략 </a:t>
            </a:r>
            <a:r>
              <a:rPr lang="en-US" altLang="ko-KR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2]</a:t>
            </a:r>
          </a:p>
          <a:p>
            <a:pPr marL="0" marR="0" lvl="0" indent="0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ko-KR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트리를 이용해 각 종교에 포함된 학생들을 표현하고 </a:t>
            </a:r>
            <a:br>
              <a:rPr lang="ko-KR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</a:br>
            <a:r>
              <a:rPr lang="ko-KR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랭크를 이용한 </a:t>
            </a:r>
            <a:r>
              <a:rPr lang="en-US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Union</a:t>
            </a:r>
            <a:r>
              <a:rPr lang="ko-KR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과 경로 압축을 이용한 </a:t>
            </a:r>
            <a:r>
              <a:rPr lang="en-US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Find</a:t>
            </a:r>
            <a:r>
              <a:rPr lang="ko-KR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를 </a:t>
            </a:r>
            <a:br>
              <a:rPr lang="ko-KR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</a:br>
            <a:r>
              <a:rPr lang="ko-KR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동시에 사용</a:t>
            </a:r>
            <a:r>
              <a:rPr lang="ko-KR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하여 해결 할 수 있다</a:t>
            </a:r>
            <a:r>
              <a:rPr lang="en-US" altLang="ko-K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.</a:t>
            </a:r>
            <a:endParaRPr lang="ko-KR" altLang="ko-KR" sz="1100">
              <a:effectLst/>
            </a:endParaRPr>
          </a:p>
          <a:p>
            <a:pPr rtl="0" eaLnBrk="1" latinLnBrk="1" hangingPunct="1"/>
            <a:endParaRPr lang="ko-KR" altLang="ko-KR">
              <a:effectLst/>
            </a:endParaRPr>
          </a:p>
        </xdr:txBody>
      </xdr:sp>
      <xdr:grpSp>
        <xdr:nvGrpSpPr>
          <xdr:cNvPr id="4" name="그룹 3">
            <a:extLst>
              <a:ext uri="{FF2B5EF4-FFF2-40B4-BE49-F238E27FC236}">
                <a16:creationId xmlns:a16="http://schemas.microsoft.com/office/drawing/2014/main" id="{40EE8D5A-B470-64AB-5A73-76315F0A1AFA}"/>
              </a:ext>
            </a:extLst>
          </xdr:cNvPr>
          <xdr:cNvGrpSpPr/>
        </xdr:nvGrpSpPr>
        <xdr:grpSpPr>
          <a:xfrm>
            <a:off x="3205842" y="3603173"/>
            <a:ext cx="3088822" cy="1662792"/>
            <a:chOff x="3595646" y="1659465"/>
            <a:chExt cx="6065520" cy="3122847"/>
          </a:xfrm>
        </xdr:grpSpPr>
        <xdr:sp macro="" textlink="">
          <xdr:nvSpPr>
            <xdr:cNvPr id="5" name="타원 4">
              <a:extLst>
                <a:ext uri="{FF2B5EF4-FFF2-40B4-BE49-F238E27FC236}">
                  <a16:creationId xmlns:a16="http://schemas.microsoft.com/office/drawing/2014/main" id="{CE71DEE2-9220-D65C-4FDB-FF08D868CDDB}"/>
                </a:ext>
              </a:extLst>
            </xdr:cNvPr>
            <xdr:cNvSpPr/>
          </xdr:nvSpPr>
          <xdr:spPr>
            <a:xfrm>
              <a:off x="6363760" y="1659465"/>
              <a:ext cx="530352" cy="530352"/>
            </a:xfrm>
            <a:prstGeom prst="ellipse">
              <a:avLst/>
            </a:prstGeom>
            <a:solidFill>
              <a:srgbClr val="2D2E2A"/>
            </a:solidFill>
            <a:ln>
              <a:solidFill>
                <a:srgbClr val="2D2E2A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ko-KR" sz="1600">
                  <a:solidFill>
                    <a:schemeClr val="bg1"/>
                  </a:solidFill>
                </a:rPr>
                <a:t>1</a:t>
              </a:r>
              <a:endParaRPr lang="ko-KR" altLang="en-US" sz="160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6" name="타원 5">
              <a:extLst>
                <a:ext uri="{FF2B5EF4-FFF2-40B4-BE49-F238E27FC236}">
                  <a16:creationId xmlns:a16="http://schemas.microsoft.com/office/drawing/2014/main" id="{E3CDEE73-CAC3-AD0C-D8B8-C5B970D50EEB}"/>
                </a:ext>
              </a:extLst>
            </xdr:cNvPr>
            <xdr:cNvSpPr/>
          </xdr:nvSpPr>
          <xdr:spPr>
            <a:xfrm>
              <a:off x="3595646" y="4251960"/>
              <a:ext cx="530352" cy="530352"/>
            </a:xfrm>
            <a:prstGeom prst="ellipse">
              <a:avLst/>
            </a:prstGeom>
            <a:solidFill>
              <a:srgbClr val="2D2E2A"/>
            </a:solidFill>
            <a:ln>
              <a:solidFill>
                <a:srgbClr val="2D2E2A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ko-KR" sz="1600">
                  <a:solidFill>
                    <a:schemeClr val="bg1"/>
                  </a:solidFill>
                </a:rPr>
                <a:t>2</a:t>
              </a:r>
              <a:endParaRPr lang="ko-KR" altLang="en-US" sz="160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7" name="타원 6">
              <a:extLst>
                <a:ext uri="{FF2B5EF4-FFF2-40B4-BE49-F238E27FC236}">
                  <a16:creationId xmlns:a16="http://schemas.microsoft.com/office/drawing/2014/main" id="{EF4EE137-F1CB-693D-0F97-C7BFD0EE9D99}"/>
                </a:ext>
              </a:extLst>
            </xdr:cNvPr>
            <xdr:cNvSpPr/>
          </xdr:nvSpPr>
          <xdr:spPr>
            <a:xfrm>
              <a:off x="4287542" y="4251960"/>
              <a:ext cx="530352" cy="530352"/>
            </a:xfrm>
            <a:prstGeom prst="ellipse">
              <a:avLst/>
            </a:prstGeom>
            <a:solidFill>
              <a:srgbClr val="2D2E2A"/>
            </a:solidFill>
            <a:ln>
              <a:solidFill>
                <a:srgbClr val="2D2E2A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ko-KR" sz="1600">
                  <a:solidFill>
                    <a:schemeClr val="bg1"/>
                  </a:solidFill>
                </a:rPr>
                <a:t>3</a:t>
              </a:r>
              <a:endParaRPr lang="ko-KR" altLang="en-US" sz="160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8" name="타원 7">
              <a:extLst>
                <a:ext uri="{FF2B5EF4-FFF2-40B4-BE49-F238E27FC236}">
                  <a16:creationId xmlns:a16="http://schemas.microsoft.com/office/drawing/2014/main" id="{A8575A4F-4290-8262-1A7D-2C51782097D4}"/>
                </a:ext>
              </a:extLst>
            </xdr:cNvPr>
            <xdr:cNvSpPr/>
          </xdr:nvSpPr>
          <xdr:spPr>
            <a:xfrm>
              <a:off x="4979438" y="4251960"/>
              <a:ext cx="530352" cy="530352"/>
            </a:xfrm>
            <a:prstGeom prst="ellipse">
              <a:avLst/>
            </a:prstGeom>
            <a:solidFill>
              <a:srgbClr val="2D2E2A"/>
            </a:solidFill>
            <a:ln>
              <a:solidFill>
                <a:srgbClr val="2D2E2A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ko-KR" sz="1600">
                  <a:solidFill>
                    <a:schemeClr val="bg1"/>
                  </a:solidFill>
                </a:rPr>
                <a:t>4</a:t>
              </a:r>
              <a:endParaRPr lang="ko-KR" altLang="en-US" sz="160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9" name="타원 8">
              <a:extLst>
                <a:ext uri="{FF2B5EF4-FFF2-40B4-BE49-F238E27FC236}">
                  <a16:creationId xmlns:a16="http://schemas.microsoft.com/office/drawing/2014/main" id="{0FD3547A-5DF5-03C1-7554-19A37C4D5701}"/>
                </a:ext>
              </a:extLst>
            </xdr:cNvPr>
            <xdr:cNvSpPr/>
          </xdr:nvSpPr>
          <xdr:spPr>
            <a:xfrm>
              <a:off x="5671334" y="4251960"/>
              <a:ext cx="530352" cy="530352"/>
            </a:xfrm>
            <a:prstGeom prst="ellipse">
              <a:avLst/>
            </a:prstGeom>
            <a:solidFill>
              <a:srgbClr val="2D2E2A"/>
            </a:solidFill>
            <a:ln>
              <a:solidFill>
                <a:srgbClr val="2D2E2A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ko-KR" sz="1600">
                  <a:solidFill>
                    <a:schemeClr val="bg1"/>
                  </a:solidFill>
                </a:rPr>
                <a:t>5</a:t>
              </a:r>
              <a:endParaRPr lang="ko-KR" altLang="en-US" sz="160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10" name="타원 9">
              <a:extLst>
                <a:ext uri="{FF2B5EF4-FFF2-40B4-BE49-F238E27FC236}">
                  <a16:creationId xmlns:a16="http://schemas.microsoft.com/office/drawing/2014/main" id="{F286A547-28B2-A13F-58D0-7346E711BBF3}"/>
                </a:ext>
              </a:extLst>
            </xdr:cNvPr>
            <xdr:cNvSpPr/>
          </xdr:nvSpPr>
          <xdr:spPr>
            <a:xfrm>
              <a:off x="6363230" y="4251960"/>
              <a:ext cx="530352" cy="530352"/>
            </a:xfrm>
            <a:prstGeom prst="ellipse">
              <a:avLst/>
            </a:prstGeom>
            <a:solidFill>
              <a:srgbClr val="2D2E2A"/>
            </a:solidFill>
            <a:ln>
              <a:solidFill>
                <a:srgbClr val="2D2E2A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ko-KR" sz="1600">
                  <a:solidFill>
                    <a:schemeClr val="bg1"/>
                  </a:solidFill>
                </a:rPr>
                <a:t>6</a:t>
              </a:r>
              <a:endParaRPr lang="ko-KR" altLang="en-US" sz="160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11" name="타원 10">
              <a:extLst>
                <a:ext uri="{FF2B5EF4-FFF2-40B4-BE49-F238E27FC236}">
                  <a16:creationId xmlns:a16="http://schemas.microsoft.com/office/drawing/2014/main" id="{3B1DF15B-4F1D-E22F-ADC7-4D7C0FD37582}"/>
                </a:ext>
              </a:extLst>
            </xdr:cNvPr>
            <xdr:cNvSpPr/>
          </xdr:nvSpPr>
          <xdr:spPr>
            <a:xfrm>
              <a:off x="7055126" y="4251960"/>
              <a:ext cx="530352" cy="530352"/>
            </a:xfrm>
            <a:prstGeom prst="ellipse">
              <a:avLst/>
            </a:prstGeom>
            <a:solidFill>
              <a:srgbClr val="2D2E2A"/>
            </a:solidFill>
            <a:ln>
              <a:solidFill>
                <a:srgbClr val="2D2E2A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ko-KR" sz="1600">
                  <a:solidFill>
                    <a:schemeClr val="bg1"/>
                  </a:solidFill>
                </a:rPr>
                <a:t>7</a:t>
              </a:r>
              <a:endParaRPr lang="ko-KR" altLang="en-US" sz="160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12" name="타원 11">
              <a:extLst>
                <a:ext uri="{FF2B5EF4-FFF2-40B4-BE49-F238E27FC236}">
                  <a16:creationId xmlns:a16="http://schemas.microsoft.com/office/drawing/2014/main" id="{DCB103CC-ECFF-82C6-C864-03BC0A2A5BA1}"/>
                </a:ext>
              </a:extLst>
            </xdr:cNvPr>
            <xdr:cNvSpPr/>
          </xdr:nvSpPr>
          <xdr:spPr>
            <a:xfrm>
              <a:off x="7747022" y="4251960"/>
              <a:ext cx="530352" cy="530352"/>
            </a:xfrm>
            <a:prstGeom prst="ellipse">
              <a:avLst/>
            </a:prstGeom>
            <a:solidFill>
              <a:srgbClr val="2D2E2A"/>
            </a:solidFill>
            <a:ln>
              <a:solidFill>
                <a:srgbClr val="2D2E2A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ko-KR" sz="1600">
                  <a:solidFill>
                    <a:schemeClr val="bg1"/>
                  </a:solidFill>
                </a:rPr>
                <a:t>8</a:t>
              </a:r>
              <a:endParaRPr lang="ko-KR" altLang="en-US" sz="160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13" name="타원 12">
              <a:extLst>
                <a:ext uri="{FF2B5EF4-FFF2-40B4-BE49-F238E27FC236}">
                  <a16:creationId xmlns:a16="http://schemas.microsoft.com/office/drawing/2014/main" id="{D8AA7BDA-C517-E3FF-4D30-0FE3CAD27811}"/>
                </a:ext>
              </a:extLst>
            </xdr:cNvPr>
            <xdr:cNvSpPr/>
          </xdr:nvSpPr>
          <xdr:spPr>
            <a:xfrm>
              <a:off x="8438918" y="4251960"/>
              <a:ext cx="530352" cy="530352"/>
            </a:xfrm>
            <a:prstGeom prst="ellipse">
              <a:avLst/>
            </a:prstGeom>
            <a:solidFill>
              <a:srgbClr val="2D2E2A"/>
            </a:solidFill>
            <a:ln>
              <a:solidFill>
                <a:srgbClr val="2D2E2A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ko-KR" sz="1600">
                  <a:solidFill>
                    <a:schemeClr val="bg1"/>
                  </a:solidFill>
                </a:rPr>
                <a:t>9</a:t>
              </a:r>
              <a:endParaRPr lang="ko-KR" altLang="en-US" sz="160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14" name="타원 13">
              <a:extLst>
                <a:ext uri="{FF2B5EF4-FFF2-40B4-BE49-F238E27FC236}">
                  <a16:creationId xmlns:a16="http://schemas.microsoft.com/office/drawing/2014/main" id="{3E1149D2-F004-10A1-1827-E98FAC5390C8}"/>
                </a:ext>
              </a:extLst>
            </xdr:cNvPr>
            <xdr:cNvSpPr/>
          </xdr:nvSpPr>
          <xdr:spPr>
            <a:xfrm>
              <a:off x="9130814" y="4251960"/>
              <a:ext cx="530352" cy="530352"/>
            </a:xfrm>
            <a:prstGeom prst="ellipse">
              <a:avLst/>
            </a:prstGeom>
            <a:solidFill>
              <a:srgbClr val="2D2E2A"/>
            </a:solidFill>
            <a:ln>
              <a:solidFill>
                <a:srgbClr val="2D2E2A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0" rIns="0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ko-KR" sz="1400">
                  <a:solidFill>
                    <a:schemeClr val="bg1"/>
                  </a:solidFill>
                </a:rPr>
                <a:t>10</a:t>
              </a:r>
              <a:endParaRPr lang="ko-KR" altLang="en-US" sz="1400">
                <a:solidFill>
                  <a:schemeClr val="bg1"/>
                </a:solidFill>
              </a:endParaRPr>
            </a:p>
          </xdr:txBody>
        </xdr:sp>
        <xdr:cxnSp macro="">
          <xdr:nvCxnSpPr>
            <xdr:cNvPr id="15" name="직선 연결선 14">
              <a:extLst>
                <a:ext uri="{FF2B5EF4-FFF2-40B4-BE49-F238E27FC236}">
                  <a16:creationId xmlns:a16="http://schemas.microsoft.com/office/drawing/2014/main" id="{745652B1-10EC-381B-9A80-9866FE538AC5}"/>
                </a:ext>
              </a:extLst>
            </xdr:cNvPr>
            <xdr:cNvCxnSpPr>
              <a:stCxn id="5" idx="4"/>
              <a:endCxn id="6" idx="0"/>
            </xdr:cNvCxnSpPr>
          </xdr:nvCxnSpPr>
          <xdr:spPr>
            <a:xfrm flipH="1">
              <a:off x="3860822" y="2189817"/>
              <a:ext cx="2768114" cy="2062143"/>
            </a:xfrm>
            <a:prstGeom prst="line">
              <a:avLst/>
            </a:prstGeom>
            <a:ln w="19050">
              <a:solidFill>
                <a:srgbClr val="2D2E2A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직선 연결선 15">
              <a:extLst>
                <a:ext uri="{FF2B5EF4-FFF2-40B4-BE49-F238E27FC236}">
                  <a16:creationId xmlns:a16="http://schemas.microsoft.com/office/drawing/2014/main" id="{0846A0EF-0590-6622-A0C9-3F9AAAFA0427}"/>
                </a:ext>
              </a:extLst>
            </xdr:cNvPr>
            <xdr:cNvCxnSpPr>
              <a:stCxn id="5" idx="4"/>
              <a:endCxn id="7" idx="0"/>
            </xdr:cNvCxnSpPr>
          </xdr:nvCxnSpPr>
          <xdr:spPr>
            <a:xfrm flipH="1">
              <a:off x="4552718" y="2189817"/>
              <a:ext cx="2076218" cy="2062143"/>
            </a:xfrm>
            <a:prstGeom prst="line">
              <a:avLst/>
            </a:prstGeom>
            <a:ln w="19050">
              <a:solidFill>
                <a:srgbClr val="2D2E2A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직선 연결선 16">
              <a:extLst>
                <a:ext uri="{FF2B5EF4-FFF2-40B4-BE49-F238E27FC236}">
                  <a16:creationId xmlns:a16="http://schemas.microsoft.com/office/drawing/2014/main" id="{07B98045-3804-2740-CE45-1C3CB9268F81}"/>
                </a:ext>
              </a:extLst>
            </xdr:cNvPr>
            <xdr:cNvCxnSpPr>
              <a:stCxn id="5" idx="4"/>
              <a:endCxn id="8" idx="0"/>
            </xdr:cNvCxnSpPr>
          </xdr:nvCxnSpPr>
          <xdr:spPr>
            <a:xfrm flipH="1">
              <a:off x="5244614" y="2189817"/>
              <a:ext cx="1384322" cy="2062143"/>
            </a:xfrm>
            <a:prstGeom prst="line">
              <a:avLst/>
            </a:prstGeom>
            <a:ln w="19050">
              <a:solidFill>
                <a:srgbClr val="2D2E2A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" name="직선 연결선 17">
              <a:extLst>
                <a:ext uri="{FF2B5EF4-FFF2-40B4-BE49-F238E27FC236}">
                  <a16:creationId xmlns:a16="http://schemas.microsoft.com/office/drawing/2014/main" id="{7A191E07-7108-06E5-3CA5-5B8B983030D2}"/>
                </a:ext>
              </a:extLst>
            </xdr:cNvPr>
            <xdr:cNvCxnSpPr>
              <a:stCxn id="5" idx="4"/>
              <a:endCxn id="9" idx="0"/>
            </xdr:cNvCxnSpPr>
          </xdr:nvCxnSpPr>
          <xdr:spPr>
            <a:xfrm flipH="1">
              <a:off x="5936510" y="2189817"/>
              <a:ext cx="692426" cy="2062143"/>
            </a:xfrm>
            <a:prstGeom prst="line">
              <a:avLst/>
            </a:prstGeom>
            <a:ln w="19050">
              <a:solidFill>
                <a:srgbClr val="2D2E2A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" name="직선 연결선 18">
              <a:extLst>
                <a:ext uri="{FF2B5EF4-FFF2-40B4-BE49-F238E27FC236}">
                  <a16:creationId xmlns:a16="http://schemas.microsoft.com/office/drawing/2014/main" id="{46FF0639-03EE-09CB-3194-058F5BAA882C}"/>
                </a:ext>
              </a:extLst>
            </xdr:cNvPr>
            <xdr:cNvCxnSpPr>
              <a:stCxn id="5" idx="4"/>
              <a:endCxn id="10" idx="0"/>
            </xdr:cNvCxnSpPr>
          </xdr:nvCxnSpPr>
          <xdr:spPr>
            <a:xfrm flipH="1">
              <a:off x="6628406" y="2189817"/>
              <a:ext cx="530" cy="2062143"/>
            </a:xfrm>
            <a:prstGeom prst="line">
              <a:avLst/>
            </a:prstGeom>
            <a:ln w="19050">
              <a:solidFill>
                <a:srgbClr val="2D2E2A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" name="직선 연결선 19">
              <a:extLst>
                <a:ext uri="{FF2B5EF4-FFF2-40B4-BE49-F238E27FC236}">
                  <a16:creationId xmlns:a16="http://schemas.microsoft.com/office/drawing/2014/main" id="{46C20B76-B91C-E4B3-AE08-8970D62D0AF6}"/>
                </a:ext>
              </a:extLst>
            </xdr:cNvPr>
            <xdr:cNvCxnSpPr>
              <a:stCxn id="5" idx="4"/>
              <a:endCxn id="11" idx="0"/>
            </xdr:cNvCxnSpPr>
          </xdr:nvCxnSpPr>
          <xdr:spPr>
            <a:xfrm>
              <a:off x="6628936" y="2189817"/>
              <a:ext cx="691366" cy="2062143"/>
            </a:xfrm>
            <a:prstGeom prst="line">
              <a:avLst/>
            </a:prstGeom>
            <a:ln w="19050">
              <a:solidFill>
                <a:srgbClr val="2D2E2A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" name="직선 연결선 20">
              <a:extLst>
                <a:ext uri="{FF2B5EF4-FFF2-40B4-BE49-F238E27FC236}">
                  <a16:creationId xmlns:a16="http://schemas.microsoft.com/office/drawing/2014/main" id="{8ECD9988-9539-91C6-300D-85902CABFA7E}"/>
                </a:ext>
              </a:extLst>
            </xdr:cNvPr>
            <xdr:cNvCxnSpPr>
              <a:stCxn id="5" idx="4"/>
              <a:endCxn id="12" idx="0"/>
            </xdr:cNvCxnSpPr>
          </xdr:nvCxnSpPr>
          <xdr:spPr>
            <a:xfrm>
              <a:off x="6628936" y="2189817"/>
              <a:ext cx="1383262" cy="2062143"/>
            </a:xfrm>
            <a:prstGeom prst="line">
              <a:avLst/>
            </a:prstGeom>
            <a:ln w="19050">
              <a:solidFill>
                <a:srgbClr val="2D2E2A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직선 연결선 21">
              <a:extLst>
                <a:ext uri="{FF2B5EF4-FFF2-40B4-BE49-F238E27FC236}">
                  <a16:creationId xmlns:a16="http://schemas.microsoft.com/office/drawing/2014/main" id="{7DF91262-7044-24FE-83AA-E4161387AE9C}"/>
                </a:ext>
              </a:extLst>
            </xdr:cNvPr>
            <xdr:cNvCxnSpPr>
              <a:stCxn id="5" idx="4"/>
              <a:endCxn id="13" idx="0"/>
            </xdr:cNvCxnSpPr>
          </xdr:nvCxnSpPr>
          <xdr:spPr>
            <a:xfrm>
              <a:off x="6628936" y="2189817"/>
              <a:ext cx="2075158" cy="2062143"/>
            </a:xfrm>
            <a:prstGeom prst="line">
              <a:avLst/>
            </a:prstGeom>
            <a:ln w="19050">
              <a:solidFill>
                <a:srgbClr val="2D2E2A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직선 연결선 22">
              <a:extLst>
                <a:ext uri="{FF2B5EF4-FFF2-40B4-BE49-F238E27FC236}">
                  <a16:creationId xmlns:a16="http://schemas.microsoft.com/office/drawing/2014/main" id="{691106A2-0651-D994-BC40-4ED41D000269}"/>
                </a:ext>
              </a:extLst>
            </xdr:cNvPr>
            <xdr:cNvCxnSpPr>
              <a:stCxn id="5" idx="4"/>
              <a:endCxn id="14" idx="0"/>
            </xdr:cNvCxnSpPr>
          </xdr:nvCxnSpPr>
          <xdr:spPr>
            <a:xfrm>
              <a:off x="6628936" y="2189817"/>
              <a:ext cx="2767054" cy="2062143"/>
            </a:xfrm>
            <a:prstGeom prst="line">
              <a:avLst/>
            </a:prstGeom>
            <a:ln w="19050">
              <a:solidFill>
                <a:srgbClr val="2D2E2A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2</xdr:row>
      <xdr:rowOff>66675</xdr:rowOff>
    </xdr:from>
    <xdr:to>
      <xdr:col>10</xdr:col>
      <xdr:colOff>238125</xdr:colOff>
      <xdr:row>26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BC29EC4-952C-417D-B384-35A93039D618}"/>
            </a:ext>
          </a:extLst>
        </xdr:cNvPr>
        <xdr:cNvSpPr txBox="1"/>
      </xdr:nvSpPr>
      <xdr:spPr>
        <a:xfrm>
          <a:off x="792480" y="512445"/>
          <a:ext cx="5962650" cy="5257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/>
            <a:t>[</a:t>
          </a:r>
          <a:r>
            <a:rPr lang="ko-KR" altLang="en-US" sz="1100" b="1"/>
            <a:t>해법 연구 </a:t>
          </a:r>
          <a:r>
            <a:rPr lang="en-US" altLang="ko-KR" sz="1100" b="1"/>
            <a:t>] </a:t>
          </a:r>
        </a:p>
        <a:p>
          <a:r>
            <a:rPr lang="en-US" altLang="ko-KR" sz="1100"/>
            <a:t>1. </a:t>
          </a:r>
          <a:r>
            <a:rPr lang="ko-KR" altLang="en-US" sz="1100"/>
            <a:t>사각형 클래스를 정의하여 문제에 사용할 수 있다</a:t>
          </a:r>
          <a:r>
            <a:rPr lang="en-US" altLang="ko-KR" sz="1100"/>
            <a:t>.</a:t>
          </a:r>
        </a:p>
        <a:p>
          <a:r>
            <a:rPr lang="en-US" altLang="ko-KR" sz="1100"/>
            <a:t>    struct</a:t>
          </a:r>
          <a:r>
            <a:rPr lang="en-US" altLang="ko-KR" sz="1100" baseline="0"/>
            <a:t> Rect{</a:t>
          </a:r>
        </a:p>
        <a:p>
          <a:r>
            <a:rPr lang="en-US" altLang="ko-KR" sz="1100" baseline="0"/>
            <a:t>        int sr, sc, er, ec;</a:t>
          </a:r>
        </a:p>
        <a:p>
          <a:r>
            <a:rPr lang="en-US" altLang="ko-KR" sz="1100" baseline="0"/>
            <a:t>    };</a:t>
          </a:r>
        </a:p>
        <a:p>
          <a:endParaRPr lang="en-US" altLang="ko-KR" sz="1100" baseline="0"/>
        </a:p>
        <a:p>
          <a:endParaRPr lang="en-US" altLang="ko-KR" sz="1100"/>
        </a:p>
        <a:p>
          <a:r>
            <a:rPr lang="en-US" altLang="ko-KR" sz="1100"/>
            <a:t>2. </a:t>
          </a:r>
          <a:r>
            <a:rPr lang="ko-KR" altLang="en-US" sz="1100"/>
            <a:t>두 직사각형의 겹치는 것을 어떻게 판정할 수 있을까</a:t>
          </a:r>
          <a:r>
            <a:rPr lang="en-US" altLang="ko-KR" sz="1100"/>
            <a:t>?</a:t>
          </a:r>
        </a:p>
        <a:p>
          <a:r>
            <a:rPr lang="en-US" altLang="ko-KR" sz="1100" baseline="0"/>
            <a:t>    1) 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안겹치지 않는다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이용하기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면 아래와 같이 간단한 함수로 처리된다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bool isOver (Data a, Data b){</a:t>
          </a: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return !(a.er &lt; b.sr || b.er &lt; a.sr || a.ec &lt; b.sc || b.ec &lt; a.sc);</a:t>
          </a: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}</a:t>
          </a:r>
        </a:p>
        <a:p>
          <a:endParaRPr lang="en-US" altLang="ko-KR" sz="1100" baseline="0"/>
        </a:p>
        <a:p>
          <a:r>
            <a:rPr lang="en-US" altLang="ko-KR" sz="1100" baseline="0"/>
            <a:t>    2) 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두 사각형이 이루는 공통 면적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 존재한다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이용하면 아래와 같다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bool isOver (Data a, Data b){</a:t>
          </a: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int sr = max(a.sr, b.sr), sc = max(a.sc, b.sc, er = min(a.er, b.er), ec = min(a.ec, b.ec);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return (sr &lt;= er &amp;&amp; sc &lt;= ec);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}</a:t>
          </a:r>
          <a:r>
            <a:rPr lang="en-US" altLang="ko-KR" sz="1100" baseline="0"/>
            <a:t> </a:t>
          </a:r>
        </a:p>
        <a:p>
          <a:endParaRPr lang="en-US" altLang="ko-KR" sz="1100" baseline="0"/>
        </a:p>
        <a:p>
          <a:endParaRPr lang="en-US" altLang="ko-KR" sz="1100" baseline="0"/>
        </a:p>
        <a:p>
          <a:r>
            <a:rPr lang="en-US" altLang="ko-KR" sz="1100" baseline="0"/>
            <a:t>3. </a:t>
          </a:r>
          <a:r>
            <a:rPr lang="ko-KR" altLang="en-US" sz="1100" baseline="0"/>
            <a:t>사각형을 입력받으며 현재 사각형이 이전 사각형과 겹치는 경우가 있는지 검사한다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    </a:t>
          </a:r>
          <a:r>
            <a:rPr lang="ko-KR" altLang="en-US" sz="1100" baseline="0"/>
            <a:t>겹치는 경우가 발생하면 </a:t>
          </a:r>
          <a:r>
            <a:rPr lang="en-US" altLang="ko-KR" sz="1100" baseline="0"/>
            <a:t>Union Find</a:t>
          </a:r>
          <a:r>
            <a:rPr lang="ko-KR" altLang="en-US" sz="1100" baseline="0"/>
            <a:t>로 처리한다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    </a:t>
          </a:r>
          <a:r>
            <a:rPr lang="ko-KR" altLang="en-US" sz="1100" baseline="0"/>
            <a:t>매 사각형을 처리하고 그룹수와 최개 그룹의 크기를 출력한다</a:t>
          </a:r>
          <a:r>
            <a:rPr lang="en-US" altLang="ko-KR" sz="1100" baseline="0"/>
            <a:t>.</a:t>
          </a:r>
        </a:p>
        <a:p>
          <a:endParaRPr lang="ko-KR" altLang="en-US" sz="1100"/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169546</xdr:colOff>
      <xdr:row>14</xdr:row>
      <xdr:rowOff>20955</xdr:rowOff>
    </xdr:from>
    <xdr:to>
      <xdr:col>14</xdr:col>
      <xdr:colOff>66676</xdr:colOff>
      <xdr:row>24</xdr:row>
      <xdr:rowOff>91440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4B8DCD3-C229-47EE-BDF0-A8599342B7D4}"/>
            </a:ext>
          </a:extLst>
        </xdr:cNvPr>
        <xdr:cNvSpPr txBox="1"/>
      </xdr:nvSpPr>
      <xdr:spPr>
        <a:xfrm>
          <a:off x="687706" y="3093720"/>
          <a:ext cx="3110865" cy="2268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[</a:t>
          </a:r>
          <a:r>
            <a:rPr lang="ko-KR" altLang="en-US" sz="1100"/>
            <a:t>해결 전략</a:t>
          </a:r>
          <a:r>
            <a:rPr lang="en-US" altLang="ko-KR" sz="1100" baseline="0"/>
            <a:t> 1]</a:t>
          </a:r>
        </a:p>
        <a:p>
          <a:r>
            <a:rPr lang="en-US" altLang="ko-KR" sz="1100"/>
            <a:t>sort + UnionFind </a:t>
          </a:r>
          <a:r>
            <a:rPr lang="ko-KR" altLang="en-US" sz="1100"/>
            <a:t>로 해결할 수 있다</a:t>
          </a:r>
          <a:r>
            <a:rPr lang="en-US" altLang="ko-KR" sz="1100"/>
            <a:t>.</a:t>
          </a:r>
        </a:p>
        <a:p>
          <a:endParaRPr lang="en-US" altLang="ko-KR" sz="1100"/>
        </a:p>
        <a:p>
          <a:r>
            <a:rPr lang="en-US" altLang="ko-KR" sz="1100"/>
            <a:t>[</a:t>
          </a:r>
          <a:r>
            <a:rPr lang="ko-KR" altLang="en-US" sz="1100"/>
            <a:t>해결 전략 </a:t>
          </a:r>
          <a:r>
            <a:rPr lang="en-US" altLang="ko-KR" sz="1100"/>
            <a:t>2]</a:t>
          </a:r>
        </a:p>
        <a:p>
          <a:r>
            <a:rPr lang="en-US" altLang="ko-KR" sz="1100"/>
            <a:t>minHeap + UnionFind</a:t>
          </a:r>
          <a:r>
            <a:rPr lang="ko-KR" altLang="en-US" sz="1100"/>
            <a:t>로 해결할 수 있다</a:t>
          </a:r>
          <a:r>
            <a:rPr lang="en-US" altLang="ko-KR" sz="1100"/>
            <a:t>.</a:t>
          </a:r>
        </a:p>
        <a:p>
          <a:endParaRPr lang="en-US" altLang="ko-KR" sz="1100"/>
        </a:p>
        <a:p>
          <a:r>
            <a:rPr lang="en-US" altLang="ko-KR" sz="1100"/>
            <a:t>[</a:t>
          </a:r>
          <a:r>
            <a:rPr lang="ko-KR" altLang="en-US" sz="1100"/>
            <a:t>해결 전략 </a:t>
          </a:r>
          <a:r>
            <a:rPr lang="en-US" altLang="ko-KR" sz="1100"/>
            <a:t>3]</a:t>
          </a:r>
        </a:p>
        <a:p>
          <a:r>
            <a:rPr lang="en-US" altLang="ko-KR" sz="1100"/>
            <a:t>BinarySearch +</a:t>
          </a:r>
          <a:r>
            <a:rPr lang="en-US" altLang="ko-KR" sz="1100" baseline="0"/>
            <a:t> UnionFind</a:t>
          </a:r>
          <a:r>
            <a:rPr lang="ko-KR" altLang="en-US" sz="1100" baseline="0"/>
            <a:t>로 해결할 수 있다</a:t>
          </a:r>
          <a:r>
            <a:rPr lang="en-US" altLang="ko-KR" sz="1100" baseline="0"/>
            <a:t>.</a:t>
          </a:r>
          <a:endParaRPr lang="en-US" altLang="ko-KR" sz="1100"/>
        </a:p>
      </xdr:txBody>
    </xdr:sp>
    <xdr:clientData/>
  </xdr:twoCellAnchor>
  <xdr:twoCellAnchor>
    <xdr:from>
      <xdr:col>19</xdr:col>
      <xdr:colOff>81915</xdr:colOff>
      <xdr:row>4</xdr:row>
      <xdr:rowOff>26670</xdr:rowOff>
    </xdr:from>
    <xdr:to>
      <xdr:col>19</xdr:col>
      <xdr:colOff>647700</xdr:colOff>
      <xdr:row>7</xdr:row>
      <xdr:rowOff>148590</xdr:rowOff>
    </xdr:to>
    <xdr:sp macro="" textlink="">
      <xdr:nvSpPr>
        <xdr:cNvPr id="3" name="화살표: 오른쪽 2">
          <a:extLst>
            <a:ext uri="{FF2B5EF4-FFF2-40B4-BE49-F238E27FC236}">
              <a16:creationId xmlns:a16="http://schemas.microsoft.com/office/drawing/2014/main" id="{88301ED1-3DE9-4EC3-BCE5-35CAB6CB96DB}"/>
            </a:ext>
          </a:extLst>
        </xdr:cNvPr>
        <xdr:cNvSpPr/>
      </xdr:nvSpPr>
      <xdr:spPr>
        <a:xfrm>
          <a:off x="5836920" y="910590"/>
          <a:ext cx="563880" cy="781050"/>
        </a:xfrm>
        <a:prstGeom prst="rightArrow">
          <a:avLst>
            <a:gd name="adj1" fmla="val 50000"/>
            <a:gd name="adj2" fmla="val 2727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정렬</a:t>
          </a:r>
        </a:p>
      </xdr:txBody>
    </xdr:sp>
    <xdr:clientData/>
  </xdr:twoCellAnchor>
  <xdr:twoCellAnchor>
    <xdr:from>
      <xdr:col>16</xdr:col>
      <xdr:colOff>140970</xdr:colOff>
      <xdr:row>31</xdr:row>
      <xdr:rowOff>57150</xdr:rowOff>
    </xdr:from>
    <xdr:to>
      <xdr:col>21</xdr:col>
      <xdr:colOff>20955</xdr:colOff>
      <xdr:row>36</xdr:row>
      <xdr:rowOff>0</xdr:rowOff>
    </xdr:to>
    <xdr:sp macro="" textlink="">
      <xdr:nvSpPr>
        <xdr:cNvPr id="4" name="설명선: 오른쪽 화살표 3">
          <a:extLst>
            <a:ext uri="{FF2B5EF4-FFF2-40B4-BE49-F238E27FC236}">
              <a16:creationId xmlns:a16="http://schemas.microsoft.com/office/drawing/2014/main" id="{157BBCFE-4CE5-4989-9ED6-72D6AD734649}"/>
            </a:ext>
          </a:extLst>
        </xdr:cNvPr>
        <xdr:cNvSpPr/>
      </xdr:nvSpPr>
      <xdr:spPr>
        <a:xfrm>
          <a:off x="4720590" y="6854190"/>
          <a:ext cx="2078355" cy="1042035"/>
        </a:xfrm>
        <a:prstGeom prst="rightArrowCallout">
          <a:avLst>
            <a:gd name="adj1" fmla="val 25000"/>
            <a:gd name="adj2" fmla="val 25000"/>
            <a:gd name="adj3" fmla="val 25000"/>
            <a:gd name="adj4" fmla="val 8204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/>
            <a:t>2</a:t>
          </a:r>
          <a:r>
            <a:rPr lang="ko-KR" altLang="en-US" sz="1100"/>
            <a:t>번</a:t>
          </a:r>
          <a:r>
            <a:rPr lang="en-US" altLang="ko-KR" sz="1100"/>
            <a:t>,</a:t>
          </a:r>
          <a:r>
            <a:rPr lang="en-US" altLang="ko-KR" sz="1100" baseline="0"/>
            <a:t> </a:t>
          </a:r>
          <a:r>
            <a:rPr lang="en-US" altLang="ko-KR" sz="1100"/>
            <a:t>4</a:t>
          </a:r>
          <a:r>
            <a:rPr lang="ko-KR" altLang="en-US" sz="1100"/>
            <a:t>번오리는</a:t>
          </a:r>
          <a:endParaRPr lang="en-US" altLang="ko-KR" sz="1100"/>
        </a:p>
        <a:p>
          <a:pPr algn="l"/>
          <a:r>
            <a:rPr lang="ko-KR" altLang="en-US" sz="1100"/>
            <a:t>이미 </a:t>
          </a:r>
          <a:r>
            <a:rPr lang="en-US" altLang="ko-KR" sz="1100"/>
            <a:t>8</a:t>
          </a:r>
          <a:r>
            <a:rPr lang="ko-KR" altLang="en-US" sz="1100"/>
            <a:t>원이면</a:t>
          </a:r>
          <a:endParaRPr lang="en-US" altLang="ko-KR" sz="1100"/>
        </a:p>
        <a:p>
          <a:pPr algn="l"/>
          <a:r>
            <a:rPr lang="ko-KR" altLang="en-US" sz="1100"/>
            <a:t>통화가능</a:t>
          </a:r>
          <a:r>
            <a:rPr lang="en-US" altLang="ko-KR" sz="1100"/>
            <a:t>.</a:t>
          </a:r>
          <a:endParaRPr lang="ko-KR" altLang="en-US" sz="1100"/>
        </a:p>
      </xdr:txBody>
    </xdr:sp>
    <xdr:clientData/>
  </xdr:twoCellAnchor>
  <xdr:twoCellAnchor>
    <xdr:from>
      <xdr:col>16</xdr:col>
      <xdr:colOff>190500</xdr:colOff>
      <xdr:row>12</xdr:row>
      <xdr:rowOff>0</xdr:rowOff>
    </xdr:from>
    <xdr:to>
      <xdr:col>20</xdr:col>
      <xdr:colOff>358140</xdr:colOff>
      <xdr:row>17</xdr:row>
      <xdr:rowOff>100965</xdr:rowOff>
    </xdr:to>
    <xdr:sp macro="" textlink="">
      <xdr:nvSpPr>
        <xdr:cNvPr id="5" name="설명선: 오른쪽 화살표 4">
          <a:extLst>
            <a:ext uri="{FF2B5EF4-FFF2-40B4-BE49-F238E27FC236}">
              <a16:creationId xmlns:a16="http://schemas.microsoft.com/office/drawing/2014/main" id="{B1284BD9-2F48-4EE8-9962-89E915FA1791}"/>
            </a:ext>
          </a:extLst>
        </xdr:cNvPr>
        <xdr:cNvSpPr/>
      </xdr:nvSpPr>
      <xdr:spPr>
        <a:xfrm>
          <a:off x="4772025" y="2638425"/>
          <a:ext cx="2009775" cy="1192530"/>
        </a:xfrm>
        <a:prstGeom prst="rightArrowCallout">
          <a:avLst>
            <a:gd name="adj1" fmla="val 25000"/>
            <a:gd name="adj2" fmla="val 25000"/>
            <a:gd name="adj3" fmla="val 25000"/>
            <a:gd name="adj4" fmla="val 7868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/>
            <a:t>3</a:t>
          </a:r>
          <a:r>
            <a:rPr lang="ko-KR" altLang="en-US" sz="1100"/>
            <a:t>번</a:t>
          </a:r>
          <a:r>
            <a:rPr lang="en-US" altLang="ko-KR" sz="1100"/>
            <a:t>, 4</a:t>
          </a:r>
          <a:r>
            <a:rPr lang="ko-KR" altLang="en-US" sz="1100"/>
            <a:t>번오리가 </a:t>
          </a:r>
          <a:endParaRPr lang="en-US" altLang="ko-KR" sz="1100"/>
        </a:p>
        <a:p>
          <a:pPr algn="l"/>
          <a:r>
            <a:rPr lang="ko-KR" altLang="en-US" sz="1100"/>
            <a:t>통화가능하게 하려면</a:t>
          </a:r>
          <a:endParaRPr lang="en-US" altLang="ko-KR" sz="1100"/>
        </a:p>
        <a:p>
          <a:pPr algn="l"/>
          <a:r>
            <a:rPr lang="ko-KR" altLang="en-US" sz="1100"/>
            <a:t>무전기 한대의 가격은</a:t>
          </a:r>
          <a:endParaRPr lang="en-US" altLang="ko-KR" sz="1100"/>
        </a:p>
        <a:p>
          <a:pPr algn="l"/>
          <a:r>
            <a:rPr lang="en-US" altLang="ko-KR" sz="1100"/>
            <a:t>2</a:t>
          </a:r>
          <a:r>
            <a:rPr lang="ko-KR" altLang="en-US" sz="1100"/>
            <a:t>원이면 가능</a:t>
          </a:r>
          <a:r>
            <a:rPr lang="en-US" altLang="ko-KR" sz="1100"/>
            <a:t>.</a:t>
          </a:r>
          <a:endParaRPr lang="ko-KR" altLang="en-US" sz="1100"/>
        </a:p>
      </xdr:txBody>
    </xdr:sp>
    <xdr:clientData/>
  </xdr:twoCellAnchor>
  <xdr:twoCellAnchor>
    <xdr:from>
      <xdr:col>16</xdr:col>
      <xdr:colOff>95250</xdr:colOff>
      <xdr:row>20</xdr:row>
      <xdr:rowOff>201930</xdr:rowOff>
    </xdr:from>
    <xdr:to>
      <xdr:col>21</xdr:col>
      <xdr:colOff>0</xdr:colOff>
      <xdr:row>26</xdr:row>
      <xdr:rowOff>78105</xdr:rowOff>
    </xdr:to>
    <xdr:sp macro="" textlink="">
      <xdr:nvSpPr>
        <xdr:cNvPr id="6" name="설명선: 오른쪽 화살표 5">
          <a:extLst>
            <a:ext uri="{FF2B5EF4-FFF2-40B4-BE49-F238E27FC236}">
              <a16:creationId xmlns:a16="http://schemas.microsoft.com/office/drawing/2014/main" id="{5F1A1FB9-B38D-400F-AF2A-578BDDC82076}"/>
            </a:ext>
          </a:extLst>
        </xdr:cNvPr>
        <xdr:cNvSpPr/>
      </xdr:nvSpPr>
      <xdr:spPr>
        <a:xfrm>
          <a:off x="4672965" y="4596765"/>
          <a:ext cx="2108835" cy="1186815"/>
        </a:xfrm>
        <a:prstGeom prst="rightArrowCallout">
          <a:avLst>
            <a:gd name="adj1" fmla="val 25000"/>
            <a:gd name="adj2" fmla="val 25000"/>
            <a:gd name="adj3" fmla="val 25000"/>
            <a:gd name="adj4" fmla="val 7868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/>
            <a:t>2</a:t>
          </a:r>
          <a:r>
            <a:rPr lang="ko-KR" altLang="en-US" sz="1100"/>
            <a:t>번</a:t>
          </a:r>
          <a:r>
            <a:rPr lang="en-US" altLang="ko-KR" sz="1100"/>
            <a:t>, 3</a:t>
          </a:r>
          <a:r>
            <a:rPr lang="ko-KR" altLang="en-US" sz="1100"/>
            <a:t>번</a:t>
          </a:r>
          <a:r>
            <a:rPr lang="en-US" altLang="ko-KR" sz="1100"/>
            <a:t>, 4</a:t>
          </a:r>
          <a:r>
            <a:rPr lang="ko-KR" altLang="en-US" sz="1100"/>
            <a:t>번오리가 </a:t>
          </a:r>
          <a:endParaRPr lang="en-US" altLang="ko-KR" sz="1100"/>
        </a:p>
        <a:p>
          <a:pPr algn="l"/>
          <a:r>
            <a:rPr lang="ko-KR" altLang="en-US" sz="1100"/>
            <a:t>통화가능하게 하려면</a:t>
          </a:r>
          <a:endParaRPr lang="en-US" altLang="ko-KR" sz="1100"/>
        </a:p>
        <a:p>
          <a:pPr algn="l"/>
          <a:r>
            <a:rPr lang="ko-KR" altLang="en-US" sz="1100"/>
            <a:t>무전기 한대의 가격은</a:t>
          </a:r>
          <a:endParaRPr lang="en-US" altLang="ko-KR" sz="1100"/>
        </a:p>
        <a:p>
          <a:pPr algn="l"/>
          <a:r>
            <a:rPr lang="en-US" altLang="ko-KR" sz="1100"/>
            <a:t>8</a:t>
          </a:r>
          <a:r>
            <a:rPr lang="ko-KR" altLang="en-US" sz="1100"/>
            <a:t>원이면 가능</a:t>
          </a:r>
          <a:r>
            <a:rPr lang="en-US" altLang="ko-KR" sz="1100"/>
            <a:t>.</a:t>
          </a:r>
          <a:endParaRPr lang="ko-KR" altLang="en-US" sz="1100"/>
        </a:p>
      </xdr:txBody>
    </xdr:sp>
    <xdr:clientData/>
  </xdr:twoCellAnchor>
  <xdr:twoCellAnchor>
    <xdr:from>
      <xdr:col>16</xdr:col>
      <xdr:colOff>135255</xdr:colOff>
      <xdr:row>40</xdr:row>
      <xdr:rowOff>114300</xdr:rowOff>
    </xdr:from>
    <xdr:to>
      <xdr:col>21</xdr:col>
      <xdr:colOff>20955</xdr:colOff>
      <xdr:row>46</xdr:row>
      <xdr:rowOff>121920</xdr:rowOff>
    </xdr:to>
    <xdr:sp macro="" textlink="">
      <xdr:nvSpPr>
        <xdr:cNvPr id="7" name="설명선: 오른쪽 화살표 6">
          <a:extLst>
            <a:ext uri="{FF2B5EF4-FFF2-40B4-BE49-F238E27FC236}">
              <a16:creationId xmlns:a16="http://schemas.microsoft.com/office/drawing/2014/main" id="{A73DBADD-2927-4274-8A46-77A913F6F8C0}"/>
            </a:ext>
          </a:extLst>
        </xdr:cNvPr>
        <xdr:cNvSpPr/>
      </xdr:nvSpPr>
      <xdr:spPr>
        <a:xfrm>
          <a:off x="4712970" y="8886825"/>
          <a:ext cx="2085975" cy="1323975"/>
        </a:xfrm>
        <a:prstGeom prst="rightArrowCallout">
          <a:avLst>
            <a:gd name="adj1" fmla="val 25000"/>
            <a:gd name="adj2" fmla="val 25000"/>
            <a:gd name="adj3" fmla="val 25000"/>
            <a:gd name="adj4" fmla="val 8204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대의 무전기 가격이</a:t>
          </a:r>
          <a:endParaRPr lang="ko-KR" altLang="ko-KR">
            <a:effectLst/>
          </a:endParaRPr>
        </a:p>
        <a:p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원이라면</a:t>
          </a:r>
          <a:endParaRPr lang="ko-KR" altLang="ko-KR">
            <a:effectLst/>
          </a:endParaRPr>
        </a:p>
        <a:p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마리 오리 모두</a:t>
          </a:r>
          <a:endParaRPr lang="ko-KR" altLang="ko-KR">
            <a:effectLst/>
          </a:endParaRPr>
        </a:p>
        <a:p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통신이 가능하다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57149</xdr:colOff>
      <xdr:row>36</xdr:row>
      <xdr:rowOff>38097</xdr:rowOff>
    </xdr:from>
    <xdr:to>
      <xdr:col>14</xdr:col>
      <xdr:colOff>190499</xdr:colOff>
      <xdr:row>65</xdr:row>
      <xdr:rowOff>33618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FFFC91-8CC1-40E4-83CB-7E981069B37C}"/>
            </a:ext>
          </a:extLst>
        </xdr:cNvPr>
        <xdr:cNvSpPr txBox="1"/>
      </xdr:nvSpPr>
      <xdr:spPr>
        <a:xfrm>
          <a:off x="931208" y="8106332"/>
          <a:ext cx="8201585" cy="64949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>
              <a:latin typeface="D2Coding" panose="020B0609020101020101" pitchFamily="49" charset="-127"/>
              <a:ea typeface="D2Coding" panose="020B0609020101020101" pitchFamily="49" charset="-127"/>
            </a:rPr>
            <a:t>[</a:t>
          </a:r>
          <a:r>
            <a:rPr lang="ko-KR" altLang="en-US" sz="1100" b="1">
              <a:latin typeface="D2Coding" panose="020B0609020101020101" pitchFamily="49" charset="-127"/>
              <a:ea typeface="D2Coding" panose="020B0609020101020101" pitchFamily="49" charset="-127"/>
            </a:rPr>
            <a:t>문제 개요</a:t>
          </a:r>
          <a:r>
            <a:rPr lang="en-US" altLang="ko-KR" sz="1100" b="1">
              <a:latin typeface="D2Coding" panose="020B0609020101020101" pitchFamily="49" charset="-127"/>
              <a:ea typeface="D2Coding" panose="020B0609020101020101" pitchFamily="49" charset="-127"/>
            </a:rPr>
            <a:t>]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N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개의 노드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, Q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개의 질의가 주어진다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. </a:t>
          </a:r>
          <a:r>
            <a:rPr lang="en-US" altLang="ko-KR">
              <a:latin typeface="D2Coding" panose="020B0609020101020101" pitchFamily="49" charset="-127"/>
              <a:ea typeface="D2Coding" panose="020B0609020101020101" pitchFamily="49" charset="-127"/>
            </a:rPr>
            <a:t>(1 ≤ N, Q ≤ 200,000)</a:t>
          </a:r>
        </a:p>
        <a:p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첫 행에 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N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과 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Q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가 주어진다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이어서 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N-1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개의 행에 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i+1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의 부모 정점이 주어진다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이서서 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(N-1)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+Q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개의 행에 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N-1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개는 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(1)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의 형태로 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Q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개는 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(2)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의 형태 명령이 주어진다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    (1) 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두 정수 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x 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와 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b 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가 주어진다 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(x = 0, 2 ≤ b ≤ N ). </a:t>
          </a: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          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이것은 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b 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의 부모 정점과 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b 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를 연결하는 에지를 제거함을 의미한다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. 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각 줄의 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b 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는 모두 다르다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. </a:t>
          </a: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    (2) 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세 정수 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x, c, d 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가 주어진다 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(x = 1, 1 ≤ c, d ≤ N ). </a:t>
          </a: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           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이것은 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c 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와 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d 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를 연결하는 경로가 존재하는 지 묻는 질의를 의미한다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 b="1">
              <a:latin typeface="D2Coding" panose="020B0609020101020101" pitchFamily="49" charset="-127"/>
              <a:ea typeface="D2Coding" panose="020B0609020101020101" pitchFamily="49" charset="-127"/>
            </a:rPr>
            <a:t>[</a:t>
          </a:r>
          <a:r>
            <a:rPr lang="ko-KR" altLang="en-US" sz="1100" b="1">
              <a:latin typeface="D2Coding" panose="020B0609020101020101" pitchFamily="49" charset="-127"/>
              <a:ea typeface="D2Coding" panose="020B0609020101020101" pitchFamily="49" charset="-127"/>
            </a:rPr>
            <a:t>해결 전략</a:t>
          </a:r>
          <a:r>
            <a:rPr lang="en-US" altLang="ko-KR" sz="1100" b="1" baseline="0">
              <a:latin typeface="D2Coding" panose="020B0609020101020101" pitchFamily="49" charset="-127"/>
              <a:ea typeface="D2Coding" panose="020B0609020101020101" pitchFamily="49" charset="-127"/>
            </a:rPr>
            <a:t>]</a:t>
          </a:r>
        </a:p>
        <a:p>
          <a:r>
            <a:rPr lang="en-US" altLang="ko-KR" sz="1100" b="1" baseline="0">
              <a:latin typeface="D2Coding" panose="020B0609020101020101" pitchFamily="49" charset="-127"/>
              <a:ea typeface="D2Coding" panose="020B0609020101020101" pitchFamily="49" charset="-127"/>
            </a:rPr>
            <a:t>* </a:t>
          </a:r>
          <a:r>
            <a:rPr lang="ko-KR" altLang="en-US" sz="1100" b="1" baseline="0">
              <a:latin typeface="D2Coding" panose="020B0609020101020101" pitchFamily="49" charset="-127"/>
              <a:ea typeface="D2Coding" panose="020B0609020101020101" pitchFamily="49" charset="-127"/>
            </a:rPr>
            <a:t>데이터베이스 쿼리 최적화</a:t>
          </a:r>
          <a:r>
            <a:rPr lang="en-US" altLang="ko-KR" sz="1100" b="1" baseline="0">
              <a:latin typeface="D2Coding" panose="020B0609020101020101" pitchFamily="49" charset="-127"/>
              <a:ea typeface="D2Coding" panose="020B0609020101020101" pitchFamily="49" charset="-127"/>
            </a:rPr>
            <a:t>(Query Optimization)</a:t>
          </a:r>
        </a:p>
        <a:p>
          <a:r>
            <a:rPr lang="en-US" altLang="ko-KR" sz="1100" b="1" baseline="0">
              <a:latin typeface="D2Coding" panose="020B0609020101020101" pitchFamily="49" charset="-127"/>
              <a:ea typeface="D2Coding" panose="020B0609020101020101" pitchFamily="49" charset="-127"/>
            </a:rPr>
            <a:t>  : (offline query(</a:t>
          </a:r>
          <a:r>
            <a:rPr lang="ko-KR" altLang="en-US" sz="1100" b="1" baseline="0">
              <a:latin typeface="D2Coding" panose="020B0609020101020101" pitchFamily="49" charset="-127"/>
              <a:ea typeface="D2Coding" panose="020B0609020101020101" pitchFamily="49" charset="-127"/>
            </a:rPr>
            <a:t>업데이트가 없는 조회 쿼리</a:t>
          </a:r>
          <a:r>
            <a:rPr lang="en-US" altLang="ko-KR" sz="1100" b="1" baseline="0">
              <a:latin typeface="D2Coding" panose="020B0609020101020101" pitchFamily="49" charset="-127"/>
              <a:ea typeface="D2Coding" panose="020B0609020101020101" pitchFamily="49" charset="-127"/>
            </a:rPr>
            <a:t>)</a:t>
          </a:r>
          <a:r>
            <a:rPr lang="ko-KR" altLang="en-US" sz="1100" b="1" baseline="0">
              <a:latin typeface="D2Coding" panose="020B0609020101020101" pitchFamily="49" charset="-127"/>
              <a:ea typeface="D2Coding" panose="020B0609020101020101" pitchFamily="49" charset="-127"/>
            </a:rPr>
            <a:t>가 주어졌을 때</a:t>
          </a:r>
          <a:r>
            <a:rPr lang="en-US" altLang="ko-KR" sz="1100" b="1" baseline="0">
              <a:latin typeface="D2Coding" panose="020B0609020101020101" pitchFamily="49" charset="-127"/>
              <a:ea typeface="D2Coding" panose="020B0609020101020101" pitchFamily="49" charset="-127"/>
            </a:rPr>
            <a:t>,) </a:t>
          </a:r>
          <a:r>
            <a:rPr lang="ko-KR" altLang="en-US" sz="1100" b="1" baseline="0">
              <a:latin typeface="D2Coding" panose="020B0609020101020101" pitchFamily="49" charset="-127"/>
              <a:ea typeface="D2Coding" panose="020B0609020101020101" pitchFamily="49" charset="-127"/>
            </a:rPr>
            <a:t>이 쿼리의 순서를 재정렬하여 처리하는 알고리즘</a:t>
          </a:r>
          <a:endParaRPr lang="en-US" altLang="ko-KR" sz="1100" b="1" baseline="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 b="1" baseline="0">
              <a:latin typeface="D2Coding" panose="020B0609020101020101" pitchFamily="49" charset="-127"/>
              <a:ea typeface="D2Coding" panose="020B0609020101020101" pitchFamily="49" charset="-127"/>
            </a:rPr>
            <a:t>  ex) Mo's Algorithm</a:t>
          </a:r>
        </a:p>
        <a:p>
          <a:r>
            <a:rPr lang="en-US" altLang="ko-KR" sz="1100" b="1" baseline="0">
              <a:latin typeface="D2Coding" panose="020B0609020101020101" pitchFamily="49" charset="-127"/>
              <a:ea typeface="D2Coding" panose="020B0609020101020101" pitchFamily="49" charset="-127"/>
            </a:rPr>
            <a:t>  &lt;</a:t>
          </a:r>
          <a:r>
            <a:rPr lang="ko-KR" altLang="en-US" sz="1100" b="1" baseline="0">
              <a:latin typeface="D2Coding" panose="020B0609020101020101" pitchFamily="49" charset="-127"/>
              <a:ea typeface="D2Coding" panose="020B0609020101020101" pitchFamily="49" charset="-127"/>
            </a:rPr>
            <a:t>기출예</a:t>
          </a:r>
          <a:r>
            <a:rPr lang="en-US" altLang="ko-KR" sz="1100" b="1" baseline="0">
              <a:latin typeface="D2Coding" panose="020B0609020101020101" pitchFamily="49" charset="-127"/>
              <a:ea typeface="D2Coding" panose="020B0609020101020101" pitchFamily="49" charset="-127"/>
            </a:rPr>
            <a:t>&gt; : </a:t>
          </a:r>
          <a:r>
            <a:rPr lang="en-US" altLang="ko-KR" b="1"/>
            <a:t>20230204</a:t>
          </a:r>
          <a:r>
            <a:rPr lang="en-US" altLang="ko-KR" b="1" baseline="0"/>
            <a:t> VRAM</a:t>
          </a:r>
        </a:p>
        <a:p>
          <a:endParaRPr lang="en-US" altLang="ko-KR" sz="1100" b="1" baseline="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노드수와 쿼리수가 최대 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20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만이므로 순차적 처리는 쉽지 않다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위 예제를 살펴보면 다음과 같은 해결방법을 생각할 수 있다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endParaRPr lang="en-US" altLang="ko-KR" sz="1100" baseline="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1. 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초기 각 노드의 그룹번호는 자신이다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2. 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모든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((N-1) + Q)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개의 쿼리를 입력받고 역순으로 처리한다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   쿼리를 역순으로 순회하며</a:t>
          </a:r>
          <a:endParaRPr lang="en-US" altLang="ko-KR" sz="1100" baseline="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  (1)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번 쿼리로는 두 노드를 하나의 그룹으로 합친다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  (2)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번 쿼리에는 두 노드가 같은 그룹인지 확인하여 기록해 둔다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3. 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모든 쿼리를 순회한 후 얻어진 결과를 역순으로 출력한다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endParaRPr lang="en-US" altLang="ko-KR" sz="1100" baseline="0">
            <a:latin typeface="D2Coding" panose="020B0609020101020101" pitchFamily="49" charset="-127"/>
            <a:ea typeface="D2Coding" panose="020B0609020101020101" pitchFamily="49" charset="-127"/>
          </a:endParaRPr>
        </a:p>
      </xdr:txBody>
    </xdr:sp>
    <xdr:clientData/>
  </xdr:twoCellAnchor>
  <xdr:twoCellAnchor>
    <xdr:from>
      <xdr:col>3</xdr:col>
      <xdr:colOff>116094</xdr:colOff>
      <xdr:row>2</xdr:row>
      <xdr:rowOff>71271</xdr:rowOff>
    </xdr:from>
    <xdr:to>
      <xdr:col>5</xdr:col>
      <xdr:colOff>441737</xdr:colOff>
      <xdr:row>12</xdr:row>
      <xdr:rowOff>36539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7CCE59CE-E035-4733-B69D-D60A4C0B6959}"/>
            </a:ext>
          </a:extLst>
        </xdr:cNvPr>
        <xdr:cNvGrpSpPr/>
      </xdr:nvGrpSpPr>
      <xdr:grpSpPr>
        <a:xfrm>
          <a:off x="1662954" y="520851"/>
          <a:ext cx="1666763" cy="2175068"/>
          <a:chOff x="1939291" y="438150"/>
          <a:chExt cx="1666875" cy="2150304"/>
        </a:xfrm>
      </xdr:grpSpPr>
      <xdr:grpSp>
        <xdr:nvGrpSpPr>
          <xdr:cNvPr id="4" name="그룹 3">
            <a:extLst>
              <a:ext uri="{FF2B5EF4-FFF2-40B4-BE49-F238E27FC236}">
                <a16:creationId xmlns:a16="http://schemas.microsoft.com/office/drawing/2014/main" id="{FAA5FC99-4686-C4BC-E9CD-91E90EE64F1F}"/>
              </a:ext>
            </a:extLst>
          </xdr:cNvPr>
          <xdr:cNvGrpSpPr/>
        </xdr:nvGrpSpPr>
        <xdr:grpSpPr>
          <a:xfrm>
            <a:off x="2050181" y="790991"/>
            <a:ext cx="1453586" cy="1801273"/>
            <a:chOff x="2326406" y="520481"/>
            <a:chExt cx="1455491" cy="1797463"/>
          </a:xfrm>
        </xdr:grpSpPr>
        <xdr:sp macro="" textlink="">
          <xdr:nvSpPr>
            <xdr:cNvPr id="6" name="타원 5">
              <a:extLst>
                <a:ext uri="{FF2B5EF4-FFF2-40B4-BE49-F238E27FC236}">
                  <a16:creationId xmlns:a16="http://schemas.microsoft.com/office/drawing/2014/main" id="{79C4E2AB-9F06-E407-5D64-58C98A6ED55D}"/>
                </a:ext>
              </a:extLst>
            </xdr:cNvPr>
            <xdr:cNvSpPr/>
          </xdr:nvSpPr>
          <xdr:spPr>
            <a:xfrm>
              <a:off x="2341245" y="520481"/>
              <a:ext cx="303828" cy="299833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</a:t>
              </a:r>
              <a:endParaRPr lang="ko-KR" altLang="en-US" sz="1400"/>
            </a:p>
          </xdr:txBody>
        </xdr:sp>
        <xdr:sp macro="" textlink="">
          <xdr:nvSpPr>
            <xdr:cNvPr id="7" name="타원 6">
              <a:extLst>
                <a:ext uri="{FF2B5EF4-FFF2-40B4-BE49-F238E27FC236}">
                  <a16:creationId xmlns:a16="http://schemas.microsoft.com/office/drawing/2014/main" id="{743DDA85-12DC-3CBD-B27A-C7FBE315C332}"/>
                </a:ext>
              </a:extLst>
            </xdr:cNvPr>
            <xdr:cNvSpPr/>
          </xdr:nvSpPr>
          <xdr:spPr>
            <a:xfrm>
              <a:off x="2714546" y="1501555"/>
              <a:ext cx="306599" cy="301738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2</a:t>
              </a:r>
              <a:endParaRPr lang="ko-KR" altLang="en-US" sz="1400"/>
            </a:p>
          </xdr:txBody>
        </xdr:sp>
        <xdr:sp macro="" textlink="">
          <xdr:nvSpPr>
            <xdr:cNvPr id="8" name="타원 7">
              <a:extLst>
                <a:ext uri="{FF2B5EF4-FFF2-40B4-BE49-F238E27FC236}">
                  <a16:creationId xmlns:a16="http://schemas.microsoft.com/office/drawing/2014/main" id="{3CCE316A-DE42-5B6E-90C5-9676F79288FB}"/>
                </a:ext>
              </a:extLst>
            </xdr:cNvPr>
            <xdr:cNvSpPr/>
          </xdr:nvSpPr>
          <xdr:spPr>
            <a:xfrm>
              <a:off x="2326406" y="1502147"/>
              <a:ext cx="311636" cy="311264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3</a:t>
              </a:r>
              <a:endParaRPr lang="ko-KR" altLang="en-US" sz="1400"/>
            </a:p>
          </xdr:txBody>
        </xdr:sp>
        <xdr:sp macro="" textlink="">
          <xdr:nvSpPr>
            <xdr:cNvPr id="9" name="타원 8">
              <a:extLst>
                <a:ext uri="{FF2B5EF4-FFF2-40B4-BE49-F238E27FC236}">
                  <a16:creationId xmlns:a16="http://schemas.microsoft.com/office/drawing/2014/main" id="{42130AAB-E850-24F2-F3D1-CD2980CC360A}"/>
                </a:ext>
              </a:extLst>
            </xdr:cNvPr>
            <xdr:cNvSpPr/>
          </xdr:nvSpPr>
          <xdr:spPr>
            <a:xfrm>
              <a:off x="2327334" y="1036016"/>
              <a:ext cx="317353" cy="29115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4</a:t>
              </a:r>
              <a:endParaRPr lang="ko-KR" altLang="en-US" sz="1400"/>
            </a:p>
          </xdr:txBody>
        </xdr:sp>
        <xdr:sp macro="" textlink="">
          <xdr:nvSpPr>
            <xdr:cNvPr id="10" name="타원 9">
              <a:extLst>
                <a:ext uri="{FF2B5EF4-FFF2-40B4-BE49-F238E27FC236}">
                  <a16:creationId xmlns:a16="http://schemas.microsoft.com/office/drawing/2014/main" id="{BE8F0A64-DC90-94BF-A424-9E6FFEB1BA6C}"/>
                </a:ext>
              </a:extLst>
            </xdr:cNvPr>
            <xdr:cNvSpPr/>
          </xdr:nvSpPr>
          <xdr:spPr>
            <a:xfrm>
              <a:off x="3473393" y="1511626"/>
              <a:ext cx="308504" cy="29877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5</a:t>
              </a:r>
              <a:endParaRPr lang="ko-KR" altLang="en-US" sz="1400"/>
            </a:p>
          </xdr:txBody>
        </xdr:sp>
        <xdr:sp macro="" textlink="">
          <xdr:nvSpPr>
            <xdr:cNvPr id="11" name="타원 10">
              <a:extLst>
                <a:ext uri="{FF2B5EF4-FFF2-40B4-BE49-F238E27FC236}">
                  <a16:creationId xmlns:a16="http://schemas.microsoft.com/office/drawing/2014/main" id="{5BE2BDFD-7566-45CD-6072-7F5D5640423D}"/>
                </a:ext>
              </a:extLst>
            </xdr:cNvPr>
            <xdr:cNvSpPr/>
          </xdr:nvSpPr>
          <xdr:spPr>
            <a:xfrm>
              <a:off x="3095787" y="2017268"/>
              <a:ext cx="291618" cy="300676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6</a:t>
              </a:r>
              <a:endParaRPr lang="ko-KR" altLang="en-US" sz="1400"/>
            </a:p>
          </xdr:txBody>
        </xdr:sp>
        <xdr:sp macro="" textlink="">
          <xdr:nvSpPr>
            <xdr:cNvPr id="12" name="타원 11">
              <a:extLst>
                <a:ext uri="{FF2B5EF4-FFF2-40B4-BE49-F238E27FC236}">
                  <a16:creationId xmlns:a16="http://schemas.microsoft.com/office/drawing/2014/main" id="{34AF8D8A-386A-3C5A-012A-B2930E25A535}"/>
                </a:ext>
              </a:extLst>
            </xdr:cNvPr>
            <xdr:cNvSpPr/>
          </xdr:nvSpPr>
          <xdr:spPr>
            <a:xfrm>
              <a:off x="2721991" y="1038915"/>
              <a:ext cx="298412" cy="28734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7</a:t>
              </a:r>
              <a:endParaRPr lang="ko-KR" altLang="en-US" sz="1400"/>
            </a:p>
          </xdr:txBody>
        </xdr:sp>
        <xdr:sp macro="" textlink="">
          <xdr:nvSpPr>
            <xdr:cNvPr id="13" name="타원 12">
              <a:extLst>
                <a:ext uri="{FF2B5EF4-FFF2-40B4-BE49-F238E27FC236}">
                  <a16:creationId xmlns:a16="http://schemas.microsoft.com/office/drawing/2014/main" id="{E855F37F-29E2-585B-9FF2-2AD51CE3059A}"/>
                </a:ext>
              </a:extLst>
            </xdr:cNvPr>
            <xdr:cNvSpPr/>
          </xdr:nvSpPr>
          <xdr:spPr>
            <a:xfrm>
              <a:off x="2721576" y="1999852"/>
              <a:ext cx="296507" cy="30639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8</a:t>
              </a:r>
              <a:endParaRPr lang="ko-KR" altLang="en-US" sz="1400"/>
            </a:p>
          </xdr:txBody>
        </xdr:sp>
        <xdr:sp macro="" textlink="">
          <xdr:nvSpPr>
            <xdr:cNvPr id="14" name="타원 13">
              <a:extLst>
                <a:ext uri="{FF2B5EF4-FFF2-40B4-BE49-F238E27FC236}">
                  <a16:creationId xmlns:a16="http://schemas.microsoft.com/office/drawing/2014/main" id="{5FFE5BA8-2DD5-68AA-0C2C-D103B78704A7}"/>
                </a:ext>
              </a:extLst>
            </xdr:cNvPr>
            <xdr:cNvSpPr/>
          </xdr:nvSpPr>
          <xdr:spPr>
            <a:xfrm>
              <a:off x="3136450" y="1053885"/>
              <a:ext cx="288887" cy="287890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9</a:t>
              </a:r>
              <a:endParaRPr lang="ko-KR" altLang="en-US" sz="1400"/>
            </a:p>
          </xdr:txBody>
        </xdr:sp>
        <xdr:sp macro="" textlink="">
          <xdr:nvSpPr>
            <xdr:cNvPr id="15" name="타원 14">
              <a:extLst>
                <a:ext uri="{FF2B5EF4-FFF2-40B4-BE49-F238E27FC236}">
                  <a16:creationId xmlns:a16="http://schemas.microsoft.com/office/drawing/2014/main" id="{C299CC1A-2C54-BF1C-36B2-B0A0054C6AA8}"/>
                </a:ext>
              </a:extLst>
            </xdr:cNvPr>
            <xdr:cNvSpPr/>
          </xdr:nvSpPr>
          <xdr:spPr>
            <a:xfrm>
              <a:off x="2326681" y="2015942"/>
              <a:ext cx="311638" cy="289246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10</a:t>
              </a:r>
              <a:endParaRPr lang="ko-KR" altLang="en-US" sz="1400"/>
            </a:p>
          </xdr:txBody>
        </xdr:sp>
        <xdr:sp macro="" textlink="">
          <xdr:nvSpPr>
            <xdr:cNvPr id="16" name="타원 15">
              <a:extLst>
                <a:ext uri="{FF2B5EF4-FFF2-40B4-BE49-F238E27FC236}">
                  <a16:creationId xmlns:a16="http://schemas.microsoft.com/office/drawing/2014/main" id="{2B436A29-7368-F7E1-8C5D-E80D08F1C774}"/>
                </a:ext>
              </a:extLst>
            </xdr:cNvPr>
            <xdr:cNvSpPr/>
          </xdr:nvSpPr>
          <xdr:spPr>
            <a:xfrm>
              <a:off x="3094653" y="1502297"/>
              <a:ext cx="292438" cy="296023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11</a:t>
              </a:r>
              <a:endParaRPr lang="ko-KR" altLang="en-US" sz="1400"/>
            </a:p>
          </xdr:txBody>
        </xdr:sp>
        <xdr:cxnSp macro="">
          <xdr:nvCxnSpPr>
            <xdr:cNvPr id="17" name="직선 연결선 16">
              <a:extLst>
                <a:ext uri="{FF2B5EF4-FFF2-40B4-BE49-F238E27FC236}">
                  <a16:creationId xmlns:a16="http://schemas.microsoft.com/office/drawing/2014/main" id="{25B7D128-AFB4-7C56-6007-DE7C7E027081}"/>
                </a:ext>
              </a:extLst>
            </xdr:cNvPr>
            <xdr:cNvCxnSpPr>
              <a:stCxn id="12" idx="4"/>
              <a:endCxn id="7" idx="0"/>
            </xdr:cNvCxnSpPr>
          </xdr:nvCxnSpPr>
          <xdr:spPr>
            <a:xfrm flipH="1">
              <a:off x="2873561" y="1320541"/>
              <a:ext cx="0" cy="184824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" name="직선 연결선 17">
              <a:extLst>
                <a:ext uri="{FF2B5EF4-FFF2-40B4-BE49-F238E27FC236}">
                  <a16:creationId xmlns:a16="http://schemas.microsoft.com/office/drawing/2014/main" id="{FEADC95A-0A44-43F2-2888-E67E36F774F3}"/>
                </a:ext>
              </a:extLst>
            </xdr:cNvPr>
            <xdr:cNvCxnSpPr>
              <a:stCxn id="9" idx="4"/>
              <a:endCxn id="8" idx="0"/>
            </xdr:cNvCxnSpPr>
          </xdr:nvCxnSpPr>
          <xdr:spPr>
            <a:xfrm flipH="1">
              <a:off x="2485082" y="1321452"/>
              <a:ext cx="2834" cy="184505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" name="직선 연결선 18">
              <a:extLst>
                <a:ext uri="{FF2B5EF4-FFF2-40B4-BE49-F238E27FC236}">
                  <a16:creationId xmlns:a16="http://schemas.microsoft.com/office/drawing/2014/main" id="{0E59B125-98A7-AFF9-1166-47CF35F8167A}"/>
                </a:ext>
              </a:extLst>
            </xdr:cNvPr>
            <xdr:cNvCxnSpPr>
              <a:stCxn id="6" idx="4"/>
              <a:endCxn id="9" idx="0"/>
            </xdr:cNvCxnSpPr>
          </xdr:nvCxnSpPr>
          <xdr:spPr>
            <a:xfrm flipH="1">
              <a:off x="2487916" y="816504"/>
              <a:ext cx="0" cy="223322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" name="직선 연결선 19">
              <a:extLst>
                <a:ext uri="{FF2B5EF4-FFF2-40B4-BE49-F238E27FC236}">
                  <a16:creationId xmlns:a16="http://schemas.microsoft.com/office/drawing/2014/main" id="{951D24E0-C48C-E3A3-FEC7-495E412C8851}"/>
                </a:ext>
              </a:extLst>
            </xdr:cNvPr>
            <xdr:cNvCxnSpPr>
              <a:stCxn id="14" idx="5"/>
              <a:endCxn id="10" idx="0"/>
            </xdr:cNvCxnSpPr>
          </xdr:nvCxnSpPr>
          <xdr:spPr>
            <a:xfrm>
              <a:off x="3384099" y="1304214"/>
              <a:ext cx="237831" cy="201697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" name="직선 연결선 20">
              <a:extLst>
                <a:ext uri="{FF2B5EF4-FFF2-40B4-BE49-F238E27FC236}">
                  <a16:creationId xmlns:a16="http://schemas.microsoft.com/office/drawing/2014/main" id="{691927DD-FB66-DEE1-0657-606E3EA0D613}"/>
                </a:ext>
              </a:extLst>
            </xdr:cNvPr>
            <xdr:cNvCxnSpPr>
              <a:stCxn id="16" idx="4"/>
              <a:endCxn id="11" idx="0"/>
            </xdr:cNvCxnSpPr>
          </xdr:nvCxnSpPr>
          <xdr:spPr>
            <a:xfrm>
              <a:off x="3239920" y="1802130"/>
              <a:ext cx="724" cy="218948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" name="직선 연결선 21">
              <a:extLst>
                <a:ext uri="{FF2B5EF4-FFF2-40B4-BE49-F238E27FC236}">
                  <a16:creationId xmlns:a16="http://schemas.microsoft.com/office/drawing/2014/main" id="{ABF17BA3-6045-11CF-5D78-273A62F83021}"/>
                </a:ext>
              </a:extLst>
            </xdr:cNvPr>
            <xdr:cNvCxnSpPr>
              <a:stCxn id="6" idx="5"/>
              <a:endCxn id="12" idx="1"/>
            </xdr:cNvCxnSpPr>
          </xdr:nvCxnSpPr>
          <xdr:spPr>
            <a:xfrm>
              <a:off x="2603041" y="780214"/>
              <a:ext cx="161025" cy="298876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" name="직선 연결선 22">
              <a:extLst>
                <a:ext uri="{FF2B5EF4-FFF2-40B4-BE49-F238E27FC236}">
                  <a16:creationId xmlns:a16="http://schemas.microsoft.com/office/drawing/2014/main" id="{627F7FE5-5724-A1EE-CF57-E86595506E16}"/>
                </a:ext>
              </a:extLst>
            </xdr:cNvPr>
            <xdr:cNvCxnSpPr>
              <a:stCxn id="16" idx="4"/>
              <a:endCxn id="13" idx="0"/>
            </xdr:cNvCxnSpPr>
          </xdr:nvCxnSpPr>
          <xdr:spPr>
            <a:xfrm flipH="1">
              <a:off x="2869830" y="1798321"/>
              <a:ext cx="371042" cy="201531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직선 연결선 23">
              <a:extLst>
                <a:ext uri="{FF2B5EF4-FFF2-40B4-BE49-F238E27FC236}">
                  <a16:creationId xmlns:a16="http://schemas.microsoft.com/office/drawing/2014/main" id="{87B62E5F-0C12-2CBF-A9A5-DE18B3DD0811}"/>
                </a:ext>
              </a:extLst>
            </xdr:cNvPr>
            <xdr:cNvCxnSpPr>
              <a:stCxn id="6" idx="5"/>
              <a:endCxn id="14" idx="1"/>
            </xdr:cNvCxnSpPr>
          </xdr:nvCxnSpPr>
          <xdr:spPr>
            <a:xfrm>
              <a:off x="2603041" y="780214"/>
              <a:ext cx="580362" cy="318852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직선 연결선 24">
              <a:extLst>
                <a:ext uri="{FF2B5EF4-FFF2-40B4-BE49-F238E27FC236}">
                  <a16:creationId xmlns:a16="http://schemas.microsoft.com/office/drawing/2014/main" id="{59E6ACC4-7F61-0915-88C7-93AB1D746AB1}"/>
                </a:ext>
              </a:extLst>
            </xdr:cNvPr>
            <xdr:cNvCxnSpPr>
              <a:stCxn id="8" idx="4"/>
              <a:endCxn id="15" idx="0"/>
            </xdr:cNvCxnSpPr>
          </xdr:nvCxnSpPr>
          <xdr:spPr>
            <a:xfrm>
              <a:off x="2485082" y="1811506"/>
              <a:ext cx="276" cy="208246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직선 연결선 25">
              <a:extLst>
                <a:ext uri="{FF2B5EF4-FFF2-40B4-BE49-F238E27FC236}">
                  <a16:creationId xmlns:a16="http://schemas.microsoft.com/office/drawing/2014/main" id="{6CA2AE6E-E061-136B-50C0-C81BCC661EEB}"/>
                </a:ext>
              </a:extLst>
            </xdr:cNvPr>
            <xdr:cNvCxnSpPr>
              <a:stCxn id="12" idx="5"/>
              <a:endCxn id="16" idx="0"/>
            </xdr:cNvCxnSpPr>
          </xdr:nvCxnSpPr>
          <xdr:spPr>
            <a:xfrm>
              <a:off x="2972613" y="1286081"/>
              <a:ext cx="267307" cy="220026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AD3E312C-7E41-7C94-C0F8-39A2C592BFE9}"/>
              </a:ext>
            </a:extLst>
          </xdr:cNvPr>
          <xdr:cNvSpPr/>
        </xdr:nvSpPr>
        <xdr:spPr>
          <a:xfrm>
            <a:off x="1939291" y="438150"/>
            <a:ext cx="1666875" cy="245745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100"/>
              <a:t>초기 트리</a:t>
            </a:r>
          </a:p>
        </xdr:txBody>
      </xdr:sp>
    </xdr:grpSp>
    <xdr:clientData/>
  </xdr:twoCellAnchor>
  <xdr:twoCellAnchor>
    <xdr:from>
      <xdr:col>5</xdr:col>
      <xdr:colOff>664622</xdr:colOff>
      <xdr:row>2</xdr:row>
      <xdr:rowOff>56254</xdr:rowOff>
    </xdr:from>
    <xdr:to>
      <xdr:col>8</xdr:col>
      <xdr:colOff>323627</xdr:colOff>
      <xdr:row>12</xdr:row>
      <xdr:rowOff>6955</xdr:rowOff>
    </xdr:to>
    <xdr:grpSp>
      <xdr:nvGrpSpPr>
        <xdr:cNvPr id="27" name="그룹 26">
          <a:extLst>
            <a:ext uri="{FF2B5EF4-FFF2-40B4-BE49-F238E27FC236}">
              <a16:creationId xmlns:a16="http://schemas.microsoft.com/office/drawing/2014/main" id="{D3EFD479-769F-42C9-9F2D-30B112199482}"/>
            </a:ext>
          </a:extLst>
        </xdr:cNvPr>
        <xdr:cNvGrpSpPr/>
      </xdr:nvGrpSpPr>
      <xdr:grpSpPr>
        <a:xfrm>
          <a:off x="3552602" y="505834"/>
          <a:ext cx="1670685" cy="2160501"/>
          <a:chOff x="1939291" y="438150"/>
          <a:chExt cx="1666875" cy="2150304"/>
        </a:xfrm>
      </xdr:grpSpPr>
      <xdr:grpSp>
        <xdr:nvGrpSpPr>
          <xdr:cNvPr id="28" name="그룹 27">
            <a:extLst>
              <a:ext uri="{FF2B5EF4-FFF2-40B4-BE49-F238E27FC236}">
                <a16:creationId xmlns:a16="http://schemas.microsoft.com/office/drawing/2014/main" id="{0737DCF1-7BC3-65B0-24FC-6CDD5DBB49A6}"/>
              </a:ext>
            </a:extLst>
          </xdr:cNvPr>
          <xdr:cNvGrpSpPr/>
        </xdr:nvGrpSpPr>
        <xdr:grpSpPr>
          <a:xfrm>
            <a:off x="2050181" y="790991"/>
            <a:ext cx="1453586" cy="1801273"/>
            <a:chOff x="2326406" y="520481"/>
            <a:chExt cx="1455491" cy="1797463"/>
          </a:xfrm>
        </xdr:grpSpPr>
        <xdr:sp macro="" textlink="">
          <xdr:nvSpPr>
            <xdr:cNvPr id="30" name="타원 29">
              <a:extLst>
                <a:ext uri="{FF2B5EF4-FFF2-40B4-BE49-F238E27FC236}">
                  <a16:creationId xmlns:a16="http://schemas.microsoft.com/office/drawing/2014/main" id="{D16B6AD0-706B-B2C1-8AC2-2BDD42E4ACCB}"/>
                </a:ext>
              </a:extLst>
            </xdr:cNvPr>
            <xdr:cNvSpPr/>
          </xdr:nvSpPr>
          <xdr:spPr>
            <a:xfrm>
              <a:off x="2341245" y="520481"/>
              <a:ext cx="303828" cy="299833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</a:t>
              </a:r>
              <a:endParaRPr lang="ko-KR" altLang="en-US" sz="1400"/>
            </a:p>
          </xdr:txBody>
        </xdr:sp>
        <xdr:sp macro="" textlink="">
          <xdr:nvSpPr>
            <xdr:cNvPr id="31" name="타원 30">
              <a:extLst>
                <a:ext uri="{FF2B5EF4-FFF2-40B4-BE49-F238E27FC236}">
                  <a16:creationId xmlns:a16="http://schemas.microsoft.com/office/drawing/2014/main" id="{8148EDA4-7940-3300-BBD9-0FD7F3EE217D}"/>
                </a:ext>
              </a:extLst>
            </xdr:cNvPr>
            <xdr:cNvSpPr/>
          </xdr:nvSpPr>
          <xdr:spPr>
            <a:xfrm>
              <a:off x="2714546" y="1501555"/>
              <a:ext cx="306599" cy="301738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2</a:t>
              </a:r>
              <a:endParaRPr lang="ko-KR" altLang="en-US" sz="1400"/>
            </a:p>
          </xdr:txBody>
        </xdr:sp>
        <xdr:sp macro="" textlink="">
          <xdr:nvSpPr>
            <xdr:cNvPr id="32" name="타원 31">
              <a:extLst>
                <a:ext uri="{FF2B5EF4-FFF2-40B4-BE49-F238E27FC236}">
                  <a16:creationId xmlns:a16="http://schemas.microsoft.com/office/drawing/2014/main" id="{F6A6E72B-B1B7-4DA9-A82E-C1E6F8B92D21}"/>
                </a:ext>
              </a:extLst>
            </xdr:cNvPr>
            <xdr:cNvSpPr/>
          </xdr:nvSpPr>
          <xdr:spPr>
            <a:xfrm>
              <a:off x="2326406" y="1502147"/>
              <a:ext cx="311636" cy="311264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3</a:t>
              </a:r>
              <a:endParaRPr lang="ko-KR" altLang="en-US" sz="1400"/>
            </a:p>
          </xdr:txBody>
        </xdr:sp>
        <xdr:sp macro="" textlink="">
          <xdr:nvSpPr>
            <xdr:cNvPr id="33" name="타원 32">
              <a:extLst>
                <a:ext uri="{FF2B5EF4-FFF2-40B4-BE49-F238E27FC236}">
                  <a16:creationId xmlns:a16="http://schemas.microsoft.com/office/drawing/2014/main" id="{7382B1C8-AD3A-CF76-E9AF-6EE4D62951D3}"/>
                </a:ext>
              </a:extLst>
            </xdr:cNvPr>
            <xdr:cNvSpPr/>
          </xdr:nvSpPr>
          <xdr:spPr>
            <a:xfrm>
              <a:off x="2327334" y="1036016"/>
              <a:ext cx="317353" cy="29115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4</a:t>
              </a:r>
              <a:endParaRPr lang="ko-KR" altLang="en-US" sz="1400"/>
            </a:p>
          </xdr:txBody>
        </xdr:sp>
        <xdr:sp macro="" textlink="">
          <xdr:nvSpPr>
            <xdr:cNvPr id="34" name="타원 33">
              <a:extLst>
                <a:ext uri="{FF2B5EF4-FFF2-40B4-BE49-F238E27FC236}">
                  <a16:creationId xmlns:a16="http://schemas.microsoft.com/office/drawing/2014/main" id="{85C90FA5-A94D-AA57-7986-1AEC474F53BE}"/>
                </a:ext>
              </a:extLst>
            </xdr:cNvPr>
            <xdr:cNvSpPr/>
          </xdr:nvSpPr>
          <xdr:spPr>
            <a:xfrm>
              <a:off x="3473393" y="1511626"/>
              <a:ext cx="308504" cy="29877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5</a:t>
              </a:r>
              <a:endParaRPr lang="ko-KR" altLang="en-US" sz="1400"/>
            </a:p>
          </xdr:txBody>
        </xdr:sp>
        <xdr:sp macro="" textlink="">
          <xdr:nvSpPr>
            <xdr:cNvPr id="35" name="타원 34">
              <a:extLst>
                <a:ext uri="{FF2B5EF4-FFF2-40B4-BE49-F238E27FC236}">
                  <a16:creationId xmlns:a16="http://schemas.microsoft.com/office/drawing/2014/main" id="{1A3F3679-EDF0-AC82-7811-BE35151395C5}"/>
                </a:ext>
              </a:extLst>
            </xdr:cNvPr>
            <xdr:cNvSpPr/>
          </xdr:nvSpPr>
          <xdr:spPr>
            <a:xfrm>
              <a:off x="3095787" y="2017268"/>
              <a:ext cx="291618" cy="300676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6</a:t>
              </a:r>
              <a:endParaRPr lang="ko-KR" altLang="en-US" sz="1400"/>
            </a:p>
          </xdr:txBody>
        </xdr:sp>
        <xdr:sp macro="" textlink="">
          <xdr:nvSpPr>
            <xdr:cNvPr id="36" name="타원 35">
              <a:extLst>
                <a:ext uri="{FF2B5EF4-FFF2-40B4-BE49-F238E27FC236}">
                  <a16:creationId xmlns:a16="http://schemas.microsoft.com/office/drawing/2014/main" id="{EB05C362-8D48-E28D-967C-6FE2ADCBB3BB}"/>
                </a:ext>
              </a:extLst>
            </xdr:cNvPr>
            <xdr:cNvSpPr/>
          </xdr:nvSpPr>
          <xdr:spPr>
            <a:xfrm>
              <a:off x="2721991" y="1038915"/>
              <a:ext cx="298412" cy="28734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7</a:t>
              </a:r>
              <a:endParaRPr lang="ko-KR" altLang="en-US" sz="1400"/>
            </a:p>
          </xdr:txBody>
        </xdr:sp>
        <xdr:sp macro="" textlink="">
          <xdr:nvSpPr>
            <xdr:cNvPr id="37" name="타원 36">
              <a:extLst>
                <a:ext uri="{FF2B5EF4-FFF2-40B4-BE49-F238E27FC236}">
                  <a16:creationId xmlns:a16="http://schemas.microsoft.com/office/drawing/2014/main" id="{C4DF27A4-5EAD-78CE-5369-7DD1871F5753}"/>
                </a:ext>
              </a:extLst>
            </xdr:cNvPr>
            <xdr:cNvSpPr/>
          </xdr:nvSpPr>
          <xdr:spPr>
            <a:xfrm>
              <a:off x="2721576" y="1999852"/>
              <a:ext cx="296507" cy="30639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8</a:t>
              </a:r>
              <a:endParaRPr lang="ko-KR" altLang="en-US" sz="1400"/>
            </a:p>
          </xdr:txBody>
        </xdr:sp>
        <xdr:sp macro="" textlink="">
          <xdr:nvSpPr>
            <xdr:cNvPr id="38" name="타원 37">
              <a:extLst>
                <a:ext uri="{FF2B5EF4-FFF2-40B4-BE49-F238E27FC236}">
                  <a16:creationId xmlns:a16="http://schemas.microsoft.com/office/drawing/2014/main" id="{F06475ED-E00A-44BD-C78B-354C5228F4A0}"/>
                </a:ext>
              </a:extLst>
            </xdr:cNvPr>
            <xdr:cNvSpPr/>
          </xdr:nvSpPr>
          <xdr:spPr>
            <a:xfrm>
              <a:off x="3136450" y="1053885"/>
              <a:ext cx="288887" cy="287890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9</a:t>
              </a:r>
              <a:endParaRPr lang="ko-KR" altLang="en-US" sz="1400"/>
            </a:p>
          </xdr:txBody>
        </xdr:sp>
        <xdr:sp macro="" textlink="">
          <xdr:nvSpPr>
            <xdr:cNvPr id="39" name="타원 38">
              <a:extLst>
                <a:ext uri="{FF2B5EF4-FFF2-40B4-BE49-F238E27FC236}">
                  <a16:creationId xmlns:a16="http://schemas.microsoft.com/office/drawing/2014/main" id="{5CFC17FF-3F46-E741-7823-6C21A14547FC}"/>
                </a:ext>
              </a:extLst>
            </xdr:cNvPr>
            <xdr:cNvSpPr/>
          </xdr:nvSpPr>
          <xdr:spPr>
            <a:xfrm>
              <a:off x="2326681" y="2015942"/>
              <a:ext cx="311638" cy="289246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10</a:t>
              </a:r>
              <a:endParaRPr lang="ko-KR" altLang="en-US" sz="1400"/>
            </a:p>
          </xdr:txBody>
        </xdr:sp>
        <xdr:sp macro="" textlink="">
          <xdr:nvSpPr>
            <xdr:cNvPr id="40" name="타원 39">
              <a:extLst>
                <a:ext uri="{FF2B5EF4-FFF2-40B4-BE49-F238E27FC236}">
                  <a16:creationId xmlns:a16="http://schemas.microsoft.com/office/drawing/2014/main" id="{39C1CD00-F244-B812-FE3C-318B0B13DBD4}"/>
                </a:ext>
              </a:extLst>
            </xdr:cNvPr>
            <xdr:cNvSpPr/>
          </xdr:nvSpPr>
          <xdr:spPr>
            <a:xfrm>
              <a:off x="3094653" y="1502297"/>
              <a:ext cx="292438" cy="296023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11</a:t>
              </a:r>
              <a:endParaRPr lang="ko-KR" altLang="en-US" sz="1400"/>
            </a:p>
          </xdr:txBody>
        </xdr:sp>
        <xdr:cxnSp macro="">
          <xdr:nvCxnSpPr>
            <xdr:cNvPr id="41" name="직선 연결선 40">
              <a:extLst>
                <a:ext uri="{FF2B5EF4-FFF2-40B4-BE49-F238E27FC236}">
                  <a16:creationId xmlns:a16="http://schemas.microsoft.com/office/drawing/2014/main" id="{4691056B-FD7F-FAF9-66D9-14A721AE2832}"/>
                </a:ext>
              </a:extLst>
            </xdr:cNvPr>
            <xdr:cNvCxnSpPr>
              <a:stCxn id="36" idx="4"/>
              <a:endCxn id="31" idx="0"/>
            </xdr:cNvCxnSpPr>
          </xdr:nvCxnSpPr>
          <xdr:spPr>
            <a:xfrm flipH="1">
              <a:off x="2873561" y="1320541"/>
              <a:ext cx="0" cy="184824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2" name="직선 연결선 41">
              <a:extLst>
                <a:ext uri="{FF2B5EF4-FFF2-40B4-BE49-F238E27FC236}">
                  <a16:creationId xmlns:a16="http://schemas.microsoft.com/office/drawing/2014/main" id="{D3C59F8D-71A4-FB21-CFA4-7FD30673E057}"/>
                </a:ext>
              </a:extLst>
            </xdr:cNvPr>
            <xdr:cNvCxnSpPr>
              <a:stCxn id="33" idx="4"/>
              <a:endCxn id="32" idx="0"/>
            </xdr:cNvCxnSpPr>
          </xdr:nvCxnSpPr>
          <xdr:spPr>
            <a:xfrm flipH="1">
              <a:off x="2485082" y="1321452"/>
              <a:ext cx="2834" cy="184505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3" name="직선 연결선 42">
              <a:extLst>
                <a:ext uri="{FF2B5EF4-FFF2-40B4-BE49-F238E27FC236}">
                  <a16:creationId xmlns:a16="http://schemas.microsoft.com/office/drawing/2014/main" id="{F5F8A924-A5E4-D71E-7B1D-69D7DD0A00B4}"/>
                </a:ext>
              </a:extLst>
            </xdr:cNvPr>
            <xdr:cNvCxnSpPr>
              <a:stCxn id="30" idx="4"/>
              <a:endCxn id="33" idx="0"/>
            </xdr:cNvCxnSpPr>
          </xdr:nvCxnSpPr>
          <xdr:spPr>
            <a:xfrm flipH="1">
              <a:off x="2487916" y="816504"/>
              <a:ext cx="0" cy="223322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4" name="직선 연결선 43">
              <a:extLst>
                <a:ext uri="{FF2B5EF4-FFF2-40B4-BE49-F238E27FC236}">
                  <a16:creationId xmlns:a16="http://schemas.microsoft.com/office/drawing/2014/main" id="{40A9B3EB-5ED4-DDCE-E70E-B9DC54A6EC16}"/>
                </a:ext>
              </a:extLst>
            </xdr:cNvPr>
            <xdr:cNvCxnSpPr>
              <a:stCxn id="38" idx="5"/>
              <a:endCxn id="34" idx="0"/>
            </xdr:cNvCxnSpPr>
          </xdr:nvCxnSpPr>
          <xdr:spPr>
            <a:xfrm>
              <a:off x="3384099" y="1304214"/>
              <a:ext cx="237831" cy="201697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5" name="직선 연결선 44">
              <a:extLst>
                <a:ext uri="{FF2B5EF4-FFF2-40B4-BE49-F238E27FC236}">
                  <a16:creationId xmlns:a16="http://schemas.microsoft.com/office/drawing/2014/main" id="{D9538B23-72E7-B875-6754-659A214A9C6B}"/>
                </a:ext>
              </a:extLst>
            </xdr:cNvPr>
            <xdr:cNvCxnSpPr>
              <a:stCxn id="40" idx="4"/>
              <a:endCxn id="35" idx="0"/>
            </xdr:cNvCxnSpPr>
          </xdr:nvCxnSpPr>
          <xdr:spPr>
            <a:xfrm>
              <a:off x="3239920" y="1802130"/>
              <a:ext cx="724" cy="218948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6" name="직선 연결선 45">
              <a:extLst>
                <a:ext uri="{FF2B5EF4-FFF2-40B4-BE49-F238E27FC236}">
                  <a16:creationId xmlns:a16="http://schemas.microsoft.com/office/drawing/2014/main" id="{6E2C8AEC-B4CC-1D4B-F95C-F3577C9E6186}"/>
                </a:ext>
              </a:extLst>
            </xdr:cNvPr>
            <xdr:cNvCxnSpPr>
              <a:stCxn id="30" idx="5"/>
              <a:endCxn id="36" idx="1"/>
            </xdr:cNvCxnSpPr>
          </xdr:nvCxnSpPr>
          <xdr:spPr>
            <a:xfrm>
              <a:off x="2603041" y="780214"/>
              <a:ext cx="161025" cy="298876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7" name="직선 연결선 46">
              <a:extLst>
                <a:ext uri="{FF2B5EF4-FFF2-40B4-BE49-F238E27FC236}">
                  <a16:creationId xmlns:a16="http://schemas.microsoft.com/office/drawing/2014/main" id="{0AB73289-20A7-7AC4-861F-B054A1785935}"/>
                </a:ext>
              </a:extLst>
            </xdr:cNvPr>
            <xdr:cNvCxnSpPr>
              <a:stCxn id="40" idx="4"/>
              <a:endCxn id="37" idx="0"/>
            </xdr:cNvCxnSpPr>
          </xdr:nvCxnSpPr>
          <xdr:spPr>
            <a:xfrm flipH="1">
              <a:off x="2869830" y="1798320"/>
              <a:ext cx="371042" cy="201532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8" name="직선 연결선 47">
              <a:extLst>
                <a:ext uri="{FF2B5EF4-FFF2-40B4-BE49-F238E27FC236}">
                  <a16:creationId xmlns:a16="http://schemas.microsoft.com/office/drawing/2014/main" id="{6E4A15D8-6FDE-B5A2-16C4-BD26392773E9}"/>
                </a:ext>
              </a:extLst>
            </xdr:cNvPr>
            <xdr:cNvCxnSpPr>
              <a:stCxn id="30" idx="5"/>
              <a:endCxn id="38" idx="1"/>
            </xdr:cNvCxnSpPr>
          </xdr:nvCxnSpPr>
          <xdr:spPr>
            <a:xfrm>
              <a:off x="2603041" y="780214"/>
              <a:ext cx="580362" cy="318852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9" name="직선 연결선 48">
              <a:extLst>
                <a:ext uri="{FF2B5EF4-FFF2-40B4-BE49-F238E27FC236}">
                  <a16:creationId xmlns:a16="http://schemas.microsoft.com/office/drawing/2014/main" id="{0B2073E9-804A-7EB1-B99C-FF78F4EA4655}"/>
                </a:ext>
              </a:extLst>
            </xdr:cNvPr>
            <xdr:cNvCxnSpPr>
              <a:stCxn id="32" idx="4"/>
              <a:endCxn id="39" idx="0"/>
            </xdr:cNvCxnSpPr>
          </xdr:nvCxnSpPr>
          <xdr:spPr>
            <a:xfrm>
              <a:off x="2485082" y="1811506"/>
              <a:ext cx="276" cy="208246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29" name="직사각형 28">
            <a:extLst>
              <a:ext uri="{FF2B5EF4-FFF2-40B4-BE49-F238E27FC236}">
                <a16:creationId xmlns:a16="http://schemas.microsoft.com/office/drawing/2014/main" id="{58660874-C133-7AAE-4C97-5FF906364045}"/>
              </a:ext>
            </a:extLst>
          </xdr:cNvPr>
          <xdr:cNvSpPr/>
        </xdr:nvSpPr>
        <xdr:spPr>
          <a:xfrm>
            <a:off x="1939291" y="438150"/>
            <a:ext cx="1666875" cy="245745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0 11</a:t>
            </a:r>
            <a:endParaRPr lang="ko-KR" altLang="en-US" sz="1100"/>
          </a:p>
        </xdr:txBody>
      </xdr:sp>
    </xdr:grpSp>
    <xdr:clientData/>
  </xdr:twoCellAnchor>
  <xdr:twoCellAnchor>
    <xdr:from>
      <xdr:col>5</xdr:col>
      <xdr:colOff>665855</xdr:colOff>
      <xdr:row>13</xdr:row>
      <xdr:rowOff>56255</xdr:rowOff>
    </xdr:from>
    <xdr:to>
      <xdr:col>8</xdr:col>
      <xdr:colOff>326765</xdr:colOff>
      <xdr:row>23</xdr:row>
      <xdr:rowOff>29143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3E686E66-C751-45F4-B845-1B08D40A8C26}"/>
            </a:ext>
          </a:extLst>
        </xdr:cNvPr>
        <xdr:cNvGrpSpPr/>
      </xdr:nvGrpSpPr>
      <xdr:grpSpPr>
        <a:xfrm>
          <a:off x="3553835" y="2936615"/>
          <a:ext cx="1672590" cy="2182688"/>
          <a:chOff x="1939291" y="438150"/>
          <a:chExt cx="1666875" cy="2150304"/>
        </a:xfrm>
      </xdr:grpSpPr>
      <xdr:grpSp>
        <xdr:nvGrpSpPr>
          <xdr:cNvPr id="51" name="그룹 50">
            <a:extLst>
              <a:ext uri="{FF2B5EF4-FFF2-40B4-BE49-F238E27FC236}">
                <a16:creationId xmlns:a16="http://schemas.microsoft.com/office/drawing/2014/main" id="{A4C7CAA7-7A5E-D2D7-F112-FEB85F019055}"/>
              </a:ext>
            </a:extLst>
          </xdr:cNvPr>
          <xdr:cNvGrpSpPr/>
        </xdr:nvGrpSpPr>
        <xdr:grpSpPr>
          <a:xfrm>
            <a:off x="2050181" y="790991"/>
            <a:ext cx="1453586" cy="1801273"/>
            <a:chOff x="2326406" y="520481"/>
            <a:chExt cx="1455491" cy="1797463"/>
          </a:xfrm>
        </xdr:grpSpPr>
        <xdr:sp macro="" textlink="">
          <xdr:nvSpPr>
            <xdr:cNvPr id="53" name="타원 52">
              <a:extLst>
                <a:ext uri="{FF2B5EF4-FFF2-40B4-BE49-F238E27FC236}">
                  <a16:creationId xmlns:a16="http://schemas.microsoft.com/office/drawing/2014/main" id="{D9D985BD-9A42-BA6B-BCCD-7247E88D445C}"/>
                </a:ext>
              </a:extLst>
            </xdr:cNvPr>
            <xdr:cNvSpPr/>
          </xdr:nvSpPr>
          <xdr:spPr>
            <a:xfrm>
              <a:off x="2341245" y="520481"/>
              <a:ext cx="303828" cy="299833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</a:t>
              </a:r>
              <a:endParaRPr lang="ko-KR" altLang="en-US" sz="1400"/>
            </a:p>
          </xdr:txBody>
        </xdr:sp>
        <xdr:sp macro="" textlink="">
          <xdr:nvSpPr>
            <xdr:cNvPr id="54" name="타원 53">
              <a:extLst>
                <a:ext uri="{FF2B5EF4-FFF2-40B4-BE49-F238E27FC236}">
                  <a16:creationId xmlns:a16="http://schemas.microsoft.com/office/drawing/2014/main" id="{F97F54BF-9E61-A88A-0618-38504D8B471B}"/>
                </a:ext>
              </a:extLst>
            </xdr:cNvPr>
            <xdr:cNvSpPr/>
          </xdr:nvSpPr>
          <xdr:spPr>
            <a:xfrm>
              <a:off x="2714546" y="1501555"/>
              <a:ext cx="306599" cy="301738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2</a:t>
              </a:r>
              <a:endParaRPr lang="ko-KR" altLang="en-US" sz="1400"/>
            </a:p>
          </xdr:txBody>
        </xdr:sp>
        <xdr:sp macro="" textlink="">
          <xdr:nvSpPr>
            <xdr:cNvPr id="55" name="타원 54">
              <a:extLst>
                <a:ext uri="{FF2B5EF4-FFF2-40B4-BE49-F238E27FC236}">
                  <a16:creationId xmlns:a16="http://schemas.microsoft.com/office/drawing/2014/main" id="{CA0A6CBA-5601-A131-A125-58D1EA4FC610}"/>
                </a:ext>
              </a:extLst>
            </xdr:cNvPr>
            <xdr:cNvSpPr/>
          </xdr:nvSpPr>
          <xdr:spPr>
            <a:xfrm>
              <a:off x="2326406" y="1502147"/>
              <a:ext cx="311636" cy="311264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3</a:t>
              </a:r>
              <a:endParaRPr lang="ko-KR" altLang="en-US" sz="1400"/>
            </a:p>
          </xdr:txBody>
        </xdr:sp>
        <xdr:sp macro="" textlink="">
          <xdr:nvSpPr>
            <xdr:cNvPr id="56" name="타원 55">
              <a:extLst>
                <a:ext uri="{FF2B5EF4-FFF2-40B4-BE49-F238E27FC236}">
                  <a16:creationId xmlns:a16="http://schemas.microsoft.com/office/drawing/2014/main" id="{BB943C8B-93A5-BF3F-4B29-BC4735294471}"/>
                </a:ext>
              </a:extLst>
            </xdr:cNvPr>
            <xdr:cNvSpPr/>
          </xdr:nvSpPr>
          <xdr:spPr>
            <a:xfrm>
              <a:off x="2327334" y="1036016"/>
              <a:ext cx="317353" cy="29115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4</a:t>
              </a:r>
              <a:endParaRPr lang="ko-KR" altLang="en-US" sz="1400"/>
            </a:p>
          </xdr:txBody>
        </xdr:sp>
        <xdr:sp macro="" textlink="">
          <xdr:nvSpPr>
            <xdr:cNvPr id="57" name="타원 56">
              <a:extLst>
                <a:ext uri="{FF2B5EF4-FFF2-40B4-BE49-F238E27FC236}">
                  <a16:creationId xmlns:a16="http://schemas.microsoft.com/office/drawing/2014/main" id="{8F446706-B043-CC64-EDA2-BC6B8ADE94B0}"/>
                </a:ext>
              </a:extLst>
            </xdr:cNvPr>
            <xdr:cNvSpPr/>
          </xdr:nvSpPr>
          <xdr:spPr>
            <a:xfrm>
              <a:off x="3473393" y="1511626"/>
              <a:ext cx="308504" cy="29877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5</a:t>
              </a:r>
              <a:endParaRPr lang="ko-KR" altLang="en-US" sz="1400"/>
            </a:p>
          </xdr:txBody>
        </xdr:sp>
        <xdr:sp macro="" textlink="">
          <xdr:nvSpPr>
            <xdr:cNvPr id="58" name="타원 57">
              <a:extLst>
                <a:ext uri="{FF2B5EF4-FFF2-40B4-BE49-F238E27FC236}">
                  <a16:creationId xmlns:a16="http://schemas.microsoft.com/office/drawing/2014/main" id="{6144859C-5289-A73C-1870-9BB4E5752EF3}"/>
                </a:ext>
              </a:extLst>
            </xdr:cNvPr>
            <xdr:cNvSpPr/>
          </xdr:nvSpPr>
          <xdr:spPr>
            <a:xfrm>
              <a:off x="3095787" y="2017268"/>
              <a:ext cx="291618" cy="300676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6</a:t>
              </a:r>
              <a:endParaRPr lang="ko-KR" altLang="en-US" sz="1400"/>
            </a:p>
          </xdr:txBody>
        </xdr:sp>
        <xdr:sp macro="" textlink="">
          <xdr:nvSpPr>
            <xdr:cNvPr id="59" name="타원 58">
              <a:extLst>
                <a:ext uri="{FF2B5EF4-FFF2-40B4-BE49-F238E27FC236}">
                  <a16:creationId xmlns:a16="http://schemas.microsoft.com/office/drawing/2014/main" id="{75E1C32D-1604-8A45-2036-5AB28124A7F5}"/>
                </a:ext>
              </a:extLst>
            </xdr:cNvPr>
            <xdr:cNvSpPr/>
          </xdr:nvSpPr>
          <xdr:spPr>
            <a:xfrm>
              <a:off x="2721991" y="1038915"/>
              <a:ext cx="298412" cy="28734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7</a:t>
              </a:r>
              <a:endParaRPr lang="ko-KR" altLang="en-US" sz="1400"/>
            </a:p>
          </xdr:txBody>
        </xdr:sp>
        <xdr:sp macro="" textlink="">
          <xdr:nvSpPr>
            <xdr:cNvPr id="60" name="타원 59">
              <a:extLst>
                <a:ext uri="{FF2B5EF4-FFF2-40B4-BE49-F238E27FC236}">
                  <a16:creationId xmlns:a16="http://schemas.microsoft.com/office/drawing/2014/main" id="{CD0562AD-15F1-ABD1-8A2E-7B56EC368411}"/>
                </a:ext>
              </a:extLst>
            </xdr:cNvPr>
            <xdr:cNvSpPr/>
          </xdr:nvSpPr>
          <xdr:spPr>
            <a:xfrm>
              <a:off x="2721576" y="1999852"/>
              <a:ext cx="296507" cy="30639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8</a:t>
              </a:r>
              <a:endParaRPr lang="ko-KR" altLang="en-US" sz="1400"/>
            </a:p>
          </xdr:txBody>
        </xdr:sp>
        <xdr:sp macro="" textlink="">
          <xdr:nvSpPr>
            <xdr:cNvPr id="61" name="타원 60">
              <a:extLst>
                <a:ext uri="{FF2B5EF4-FFF2-40B4-BE49-F238E27FC236}">
                  <a16:creationId xmlns:a16="http://schemas.microsoft.com/office/drawing/2014/main" id="{E9F77572-A6A9-84CB-BD1A-AF604BA9EADA}"/>
                </a:ext>
              </a:extLst>
            </xdr:cNvPr>
            <xdr:cNvSpPr/>
          </xdr:nvSpPr>
          <xdr:spPr>
            <a:xfrm>
              <a:off x="3136450" y="1053885"/>
              <a:ext cx="288887" cy="287890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9</a:t>
              </a:r>
              <a:endParaRPr lang="ko-KR" altLang="en-US" sz="1400"/>
            </a:p>
          </xdr:txBody>
        </xdr:sp>
        <xdr:sp macro="" textlink="">
          <xdr:nvSpPr>
            <xdr:cNvPr id="62" name="타원 61">
              <a:extLst>
                <a:ext uri="{FF2B5EF4-FFF2-40B4-BE49-F238E27FC236}">
                  <a16:creationId xmlns:a16="http://schemas.microsoft.com/office/drawing/2014/main" id="{7B454957-96E1-0705-A68C-BF85D404938E}"/>
                </a:ext>
              </a:extLst>
            </xdr:cNvPr>
            <xdr:cNvSpPr/>
          </xdr:nvSpPr>
          <xdr:spPr>
            <a:xfrm>
              <a:off x="2326681" y="2015942"/>
              <a:ext cx="311638" cy="289246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10</a:t>
              </a:r>
              <a:endParaRPr lang="ko-KR" altLang="en-US" sz="1400"/>
            </a:p>
          </xdr:txBody>
        </xdr:sp>
        <xdr:sp macro="" textlink="">
          <xdr:nvSpPr>
            <xdr:cNvPr id="63" name="타원 62">
              <a:extLst>
                <a:ext uri="{FF2B5EF4-FFF2-40B4-BE49-F238E27FC236}">
                  <a16:creationId xmlns:a16="http://schemas.microsoft.com/office/drawing/2014/main" id="{B5CF1D21-9F18-E8D9-5B03-1F360F87B1C0}"/>
                </a:ext>
              </a:extLst>
            </xdr:cNvPr>
            <xdr:cNvSpPr/>
          </xdr:nvSpPr>
          <xdr:spPr>
            <a:xfrm>
              <a:off x="3094653" y="1502297"/>
              <a:ext cx="292438" cy="296023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11</a:t>
              </a:r>
              <a:endParaRPr lang="ko-KR" altLang="en-US" sz="1400"/>
            </a:p>
          </xdr:txBody>
        </xdr:sp>
        <xdr:cxnSp macro="">
          <xdr:nvCxnSpPr>
            <xdr:cNvPr id="64" name="직선 연결선 63">
              <a:extLst>
                <a:ext uri="{FF2B5EF4-FFF2-40B4-BE49-F238E27FC236}">
                  <a16:creationId xmlns:a16="http://schemas.microsoft.com/office/drawing/2014/main" id="{B71D1F70-6DA7-6DBC-45B2-6FB5DF624930}"/>
                </a:ext>
              </a:extLst>
            </xdr:cNvPr>
            <xdr:cNvCxnSpPr>
              <a:stCxn id="59" idx="4"/>
              <a:endCxn id="54" idx="0"/>
            </xdr:cNvCxnSpPr>
          </xdr:nvCxnSpPr>
          <xdr:spPr>
            <a:xfrm flipH="1">
              <a:off x="2873561" y="1320541"/>
              <a:ext cx="0" cy="184824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" name="직선 연결선 64">
              <a:extLst>
                <a:ext uri="{FF2B5EF4-FFF2-40B4-BE49-F238E27FC236}">
                  <a16:creationId xmlns:a16="http://schemas.microsoft.com/office/drawing/2014/main" id="{EA9BF11A-9548-37FD-DBE3-55EB2DF830AB}"/>
                </a:ext>
              </a:extLst>
            </xdr:cNvPr>
            <xdr:cNvCxnSpPr>
              <a:stCxn id="56" idx="4"/>
              <a:endCxn id="55" idx="0"/>
            </xdr:cNvCxnSpPr>
          </xdr:nvCxnSpPr>
          <xdr:spPr>
            <a:xfrm flipH="1">
              <a:off x="2485082" y="1321452"/>
              <a:ext cx="2834" cy="184505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6" name="직선 연결선 65">
              <a:extLst>
                <a:ext uri="{FF2B5EF4-FFF2-40B4-BE49-F238E27FC236}">
                  <a16:creationId xmlns:a16="http://schemas.microsoft.com/office/drawing/2014/main" id="{98D21EBC-7BA5-5691-8D77-BF2A39951757}"/>
                </a:ext>
              </a:extLst>
            </xdr:cNvPr>
            <xdr:cNvCxnSpPr>
              <a:stCxn id="53" idx="4"/>
              <a:endCxn id="56" idx="0"/>
            </xdr:cNvCxnSpPr>
          </xdr:nvCxnSpPr>
          <xdr:spPr>
            <a:xfrm flipH="1">
              <a:off x="2487916" y="816504"/>
              <a:ext cx="0" cy="223322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7" name="직선 연결선 66">
              <a:extLst>
                <a:ext uri="{FF2B5EF4-FFF2-40B4-BE49-F238E27FC236}">
                  <a16:creationId xmlns:a16="http://schemas.microsoft.com/office/drawing/2014/main" id="{339AAE25-95D4-46AF-2824-39988F8F57E2}"/>
                </a:ext>
              </a:extLst>
            </xdr:cNvPr>
            <xdr:cNvCxnSpPr>
              <a:stCxn id="61" idx="5"/>
              <a:endCxn id="57" idx="0"/>
            </xdr:cNvCxnSpPr>
          </xdr:nvCxnSpPr>
          <xdr:spPr>
            <a:xfrm>
              <a:off x="3384099" y="1304214"/>
              <a:ext cx="237831" cy="201697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8" name="직선 연결선 67">
              <a:extLst>
                <a:ext uri="{FF2B5EF4-FFF2-40B4-BE49-F238E27FC236}">
                  <a16:creationId xmlns:a16="http://schemas.microsoft.com/office/drawing/2014/main" id="{34BC013F-E771-2330-9EA3-EAC13877BB29}"/>
                </a:ext>
              </a:extLst>
            </xdr:cNvPr>
            <xdr:cNvCxnSpPr>
              <a:stCxn id="63" idx="4"/>
              <a:endCxn id="58" idx="0"/>
            </xdr:cNvCxnSpPr>
          </xdr:nvCxnSpPr>
          <xdr:spPr>
            <a:xfrm>
              <a:off x="3239920" y="1802130"/>
              <a:ext cx="724" cy="218948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9" name="직선 연결선 68">
              <a:extLst>
                <a:ext uri="{FF2B5EF4-FFF2-40B4-BE49-F238E27FC236}">
                  <a16:creationId xmlns:a16="http://schemas.microsoft.com/office/drawing/2014/main" id="{36E7A89D-BFF9-41D7-910F-C5B81D08CFFC}"/>
                </a:ext>
              </a:extLst>
            </xdr:cNvPr>
            <xdr:cNvCxnSpPr>
              <a:stCxn id="53" idx="5"/>
              <a:endCxn id="59" idx="1"/>
            </xdr:cNvCxnSpPr>
          </xdr:nvCxnSpPr>
          <xdr:spPr>
            <a:xfrm>
              <a:off x="2603041" y="780214"/>
              <a:ext cx="161025" cy="298876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0" name="직선 연결선 69">
              <a:extLst>
                <a:ext uri="{FF2B5EF4-FFF2-40B4-BE49-F238E27FC236}">
                  <a16:creationId xmlns:a16="http://schemas.microsoft.com/office/drawing/2014/main" id="{14C6626A-71BA-29C8-0F04-96769746B1F4}"/>
                </a:ext>
              </a:extLst>
            </xdr:cNvPr>
            <xdr:cNvCxnSpPr>
              <a:stCxn id="63" idx="4"/>
              <a:endCxn id="60" idx="0"/>
            </xdr:cNvCxnSpPr>
          </xdr:nvCxnSpPr>
          <xdr:spPr>
            <a:xfrm flipH="1">
              <a:off x="2869830" y="1798320"/>
              <a:ext cx="371042" cy="201532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1" name="직선 연결선 70">
              <a:extLst>
                <a:ext uri="{FF2B5EF4-FFF2-40B4-BE49-F238E27FC236}">
                  <a16:creationId xmlns:a16="http://schemas.microsoft.com/office/drawing/2014/main" id="{000D4DCD-1FF1-8C9A-64EB-CCA7F75E7430}"/>
                </a:ext>
              </a:extLst>
            </xdr:cNvPr>
            <xdr:cNvCxnSpPr>
              <a:stCxn id="53" idx="5"/>
              <a:endCxn id="61" idx="1"/>
            </xdr:cNvCxnSpPr>
          </xdr:nvCxnSpPr>
          <xdr:spPr>
            <a:xfrm>
              <a:off x="2603041" y="780214"/>
              <a:ext cx="580362" cy="318852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2" name="직선 연결선 71">
              <a:extLst>
                <a:ext uri="{FF2B5EF4-FFF2-40B4-BE49-F238E27FC236}">
                  <a16:creationId xmlns:a16="http://schemas.microsoft.com/office/drawing/2014/main" id="{D58335A1-0388-1181-FA59-7AD543F79C06}"/>
                </a:ext>
              </a:extLst>
            </xdr:cNvPr>
            <xdr:cNvCxnSpPr>
              <a:stCxn id="55" idx="4"/>
              <a:endCxn id="62" idx="0"/>
            </xdr:cNvCxnSpPr>
          </xdr:nvCxnSpPr>
          <xdr:spPr>
            <a:xfrm>
              <a:off x="2485082" y="1811506"/>
              <a:ext cx="276" cy="208246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AE4AC785-1B51-2C52-26DE-3D9D87D16476}"/>
              </a:ext>
            </a:extLst>
          </xdr:cNvPr>
          <xdr:cNvSpPr/>
        </xdr:nvSpPr>
        <xdr:spPr>
          <a:xfrm>
            <a:off x="1939291" y="438150"/>
            <a:ext cx="1666875" cy="245745"/>
          </a:xfrm>
          <a:prstGeom prst="rect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1 8 5  =&gt; NO</a:t>
            </a:r>
            <a:endParaRPr lang="ko-KR" altLang="en-US" sz="1100"/>
          </a:p>
        </xdr:txBody>
      </xdr:sp>
    </xdr:grpSp>
    <xdr:clientData/>
  </xdr:twoCellAnchor>
  <xdr:twoCellAnchor>
    <xdr:from>
      <xdr:col>6</xdr:col>
      <xdr:colOff>3027</xdr:colOff>
      <xdr:row>24</xdr:row>
      <xdr:rowOff>68020</xdr:rowOff>
    </xdr:from>
    <xdr:to>
      <xdr:col>8</xdr:col>
      <xdr:colOff>321050</xdr:colOff>
      <xdr:row>34</xdr:row>
      <xdr:rowOff>29479</xdr:rowOff>
    </xdr:to>
    <xdr:grpSp>
      <xdr:nvGrpSpPr>
        <xdr:cNvPr id="73" name="그룹 72">
          <a:extLst>
            <a:ext uri="{FF2B5EF4-FFF2-40B4-BE49-F238E27FC236}">
              <a16:creationId xmlns:a16="http://schemas.microsoft.com/office/drawing/2014/main" id="{5CE81DA4-4832-4D29-80E0-DEE9588F859A}"/>
            </a:ext>
          </a:extLst>
        </xdr:cNvPr>
        <xdr:cNvGrpSpPr/>
      </xdr:nvGrpSpPr>
      <xdr:grpSpPr>
        <a:xfrm>
          <a:off x="3561567" y="5379160"/>
          <a:ext cx="1659143" cy="2171259"/>
          <a:chOff x="1939291" y="438150"/>
          <a:chExt cx="1666875" cy="2150304"/>
        </a:xfrm>
      </xdr:grpSpPr>
      <xdr:grpSp>
        <xdr:nvGrpSpPr>
          <xdr:cNvPr id="74" name="그룹 73">
            <a:extLst>
              <a:ext uri="{FF2B5EF4-FFF2-40B4-BE49-F238E27FC236}">
                <a16:creationId xmlns:a16="http://schemas.microsoft.com/office/drawing/2014/main" id="{F72AB3D5-43FE-715E-8B4B-6970867CD48C}"/>
              </a:ext>
            </a:extLst>
          </xdr:cNvPr>
          <xdr:cNvGrpSpPr/>
        </xdr:nvGrpSpPr>
        <xdr:grpSpPr>
          <a:xfrm>
            <a:off x="2050181" y="790991"/>
            <a:ext cx="1453586" cy="1801273"/>
            <a:chOff x="2326406" y="520481"/>
            <a:chExt cx="1455491" cy="1797463"/>
          </a:xfrm>
        </xdr:grpSpPr>
        <xdr:sp macro="" textlink="">
          <xdr:nvSpPr>
            <xdr:cNvPr id="76" name="타원 75">
              <a:extLst>
                <a:ext uri="{FF2B5EF4-FFF2-40B4-BE49-F238E27FC236}">
                  <a16:creationId xmlns:a16="http://schemas.microsoft.com/office/drawing/2014/main" id="{14511FF9-2835-91FE-B76B-295591F39A2C}"/>
                </a:ext>
              </a:extLst>
            </xdr:cNvPr>
            <xdr:cNvSpPr/>
          </xdr:nvSpPr>
          <xdr:spPr>
            <a:xfrm>
              <a:off x="2341245" y="520481"/>
              <a:ext cx="303828" cy="299833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</a:t>
              </a:r>
              <a:endParaRPr lang="ko-KR" altLang="en-US" sz="1400"/>
            </a:p>
          </xdr:txBody>
        </xdr:sp>
        <xdr:sp macro="" textlink="">
          <xdr:nvSpPr>
            <xdr:cNvPr id="77" name="타원 76">
              <a:extLst>
                <a:ext uri="{FF2B5EF4-FFF2-40B4-BE49-F238E27FC236}">
                  <a16:creationId xmlns:a16="http://schemas.microsoft.com/office/drawing/2014/main" id="{F0BDA37E-3A9B-4A24-6F12-94D48DB24AE1}"/>
                </a:ext>
              </a:extLst>
            </xdr:cNvPr>
            <xdr:cNvSpPr/>
          </xdr:nvSpPr>
          <xdr:spPr>
            <a:xfrm>
              <a:off x="2714546" y="1501555"/>
              <a:ext cx="306599" cy="301738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2</a:t>
              </a:r>
              <a:endParaRPr lang="ko-KR" altLang="en-US" sz="1400"/>
            </a:p>
          </xdr:txBody>
        </xdr:sp>
        <xdr:sp macro="" textlink="">
          <xdr:nvSpPr>
            <xdr:cNvPr id="78" name="타원 77">
              <a:extLst>
                <a:ext uri="{FF2B5EF4-FFF2-40B4-BE49-F238E27FC236}">
                  <a16:creationId xmlns:a16="http://schemas.microsoft.com/office/drawing/2014/main" id="{5F25F67B-F017-5E02-4D8B-4681843F4DF0}"/>
                </a:ext>
              </a:extLst>
            </xdr:cNvPr>
            <xdr:cNvSpPr/>
          </xdr:nvSpPr>
          <xdr:spPr>
            <a:xfrm>
              <a:off x="2326406" y="1502147"/>
              <a:ext cx="311636" cy="311264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3</a:t>
              </a:r>
              <a:endParaRPr lang="ko-KR" altLang="en-US" sz="1400"/>
            </a:p>
          </xdr:txBody>
        </xdr:sp>
        <xdr:sp macro="" textlink="">
          <xdr:nvSpPr>
            <xdr:cNvPr id="79" name="타원 78">
              <a:extLst>
                <a:ext uri="{FF2B5EF4-FFF2-40B4-BE49-F238E27FC236}">
                  <a16:creationId xmlns:a16="http://schemas.microsoft.com/office/drawing/2014/main" id="{3FAEE7BA-0620-D71B-D2D1-6B280CEE8F34}"/>
                </a:ext>
              </a:extLst>
            </xdr:cNvPr>
            <xdr:cNvSpPr/>
          </xdr:nvSpPr>
          <xdr:spPr>
            <a:xfrm>
              <a:off x="2327334" y="1036016"/>
              <a:ext cx="317353" cy="29115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4</a:t>
              </a:r>
              <a:endParaRPr lang="ko-KR" altLang="en-US" sz="1400"/>
            </a:p>
          </xdr:txBody>
        </xdr:sp>
        <xdr:sp macro="" textlink="">
          <xdr:nvSpPr>
            <xdr:cNvPr id="80" name="타원 79">
              <a:extLst>
                <a:ext uri="{FF2B5EF4-FFF2-40B4-BE49-F238E27FC236}">
                  <a16:creationId xmlns:a16="http://schemas.microsoft.com/office/drawing/2014/main" id="{B62DA82F-EAE1-92C7-0A68-26777CACC9DD}"/>
                </a:ext>
              </a:extLst>
            </xdr:cNvPr>
            <xdr:cNvSpPr/>
          </xdr:nvSpPr>
          <xdr:spPr>
            <a:xfrm>
              <a:off x="3473393" y="1511626"/>
              <a:ext cx="308504" cy="29877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5</a:t>
              </a:r>
              <a:endParaRPr lang="ko-KR" altLang="en-US" sz="1400"/>
            </a:p>
          </xdr:txBody>
        </xdr:sp>
        <xdr:sp macro="" textlink="">
          <xdr:nvSpPr>
            <xdr:cNvPr id="81" name="타원 80">
              <a:extLst>
                <a:ext uri="{FF2B5EF4-FFF2-40B4-BE49-F238E27FC236}">
                  <a16:creationId xmlns:a16="http://schemas.microsoft.com/office/drawing/2014/main" id="{797C52FA-5072-27BB-880E-3E4C25B87221}"/>
                </a:ext>
              </a:extLst>
            </xdr:cNvPr>
            <xdr:cNvSpPr/>
          </xdr:nvSpPr>
          <xdr:spPr>
            <a:xfrm>
              <a:off x="3095787" y="2017268"/>
              <a:ext cx="291618" cy="300676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6</a:t>
              </a:r>
              <a:endParaRPr lang="ko-KR" altLang="en-US" sz="1400"/>
            </a:p>
          </xdr:txBody>
        </xdr:sp>
        <xdr:sp macro="" textlink="">
          <xdr:nvSpPr>
            <xdr:cNvPr id="82" name="타원 81">
              <a:extLst>
                <a:ext uri="{FF2B5EF4-FFF2-40B4-BE49-F238E27FC236}">
                  <a16:creationId xmlns:a16="http://schemas.microsoft.com/office/drawing/2014/main" id="{CC2F9923-F4C3-D2A4-603D-EAB843D90B37}"/>
                </a:ext>
              </a:extLst>
            </xdr:cNvPr>
            <xdr:cNvSpPr/>
          </xdr:nvSpPr>
          <xdr:spPr>
            <a:xfrm>
              <a:off x="2721991" y="1038915"/>
              <a:ext cx="298412" cy="28734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7</a:t>
              </a:r>
              <a:endParaRPr lang="ko-KR" altLang="en-US" sz="1400"/>
            </a:p>
          </xdr:txBody>
        </xdr:sp>
        <xdr:sp macro="" textlink="">
          <xdr:nvSpPr>
            <xdr:cNvPr id="83" name="타원 82">
              <a:extLst>
                <a:ext uri="{FF2B5EF4-FFF2-40B4-BE49-F238E27FC236}">
                  <a16:creationId xmlns:a16="http://schemas.microsoft.com/office/drawing/2014/main" id="{7A993758-9CC7-CEE4-F0FF-0D7943304E23}"/>
                </a:ext>
              </a:extLst>
            </xdr:cNvPr>
            <xdr:cNvSpPr/>
          </xdr:nvSpPr>
          <xdr:spPr>
            <a:xfrm>
              <a:off x="2721576" y="1999852"/>
              <a:ext cx="296507" cy="30639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8</a:t>
              </a:r>
              <a:endParaRPr lang="ko-KR" altLang="en-US" sz="1400"/>
            </a:p>
          </xdr:txBody>
        </xdr:sp>
        <xdr:sp macro="" textlink="">
          <xdr:nvSpPr>
            <xdr:cNvPr id="84" name="타원 83">
              <a:extLst>
                <a:ext uri="{FF2B5EF4-FFF2-40B4-BE49-F238E27FC236}">
                  <a16:creationId xmlns:a16="http://schemas.microsoft.com/office/drawing/2014/main" id="{540B45BF-DDB2-3F54-599D-2C7C0A448EDB}"/>
                </a:ext>
              </a:extLst>
            </xdr:cNvPr>
            <xdr:cNvSpPr/>
          </xdr:nvSpPr>
          <xdr:spPr>
            <a:xfrm>
              <a:off x="3136450" y="1053885"/>
              <a:ext cx="288887" cy="287890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9</a:t>
              </a:r>
              <a:endParaRPr lang="ko-KR" altLang="en-US" sz="1400"/>
            </a:p>
          </xdr:txBody>
        </xdr:sp>
        <xdr:sp macro="" textlink="">
          <xdr:nvSpPr>
            <xdr:cNvPr id="85" name="타원 84">
              <a:extLst>
                <a:ext uri="{FF2B5EF4-FFF2-40B4-BE49-F238E27FC236}">
                  <a16:creationId xmlns:a16="http://schemas.microsoft.com/office/drawing/2014/main" id="{1F2010E7-7BBD-F1EB-B611-FC28F40F42B0}"/>
                </a:ext>
              </a:extLst>
            </xdr:cNvPr>
            <xdr:cNvSpPr/>
          </xdr:nvSpPr>
          <xdr:spPr>
            <a:xfrm>
              <a:off x="2326681" y="2015942"/>
              <a:ext cx="311638" cy="289246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10</a:t>
              </a:r>
              <a:endParaRPr lang="ko-KR" altLang="en-US" sz="1400"/>
            </a:p>
          </xdr:txBody>
        </xdr:sp>
        <xdr:sp macro="" textlink="">
          <xdr:nvSpPr>
            <xdr:cNvPr id="86" name="타원 85">
              <a:extLst>
                <a:ext uri="{FF2B5EF4-FFF2-40B4-BE49-F238E27FC236}">
                  <a16:creationId xmlns:a16="http://schemas.microsoft.com/office/drawing/2014/main" id="{807AF22D-D466-B555-D2D5-1DCCC0FA7767}"/>
                </a:ext>
              </a:extLst>
            </xdr:cNvPr>
            <xdr:cNvSpPr/>
          </xdr:nvSpPr>
          <xdr:spPr>
            <a:xfrm>
              <a:off x="3094653" y="1502297"/>
              <a:ext cx="292438" cy="296023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11</a:t>
              </a:r>
              <a:endParaRPr lang="ko-KR" altLang="en-US" sz="1400"/>
            </a:p>
          </xdr:txBody>
        </xdr:sp>
        <xdr:cxnSp macro="">
          <xdr:nvCxnSpPr>
            <xdr:cNvPr id="87" name="직선 연결선 86">
              <a:extLst>
                <a:ext uri="{FF2B5EF4-FFF2-40B4-BE49-F238E27FC236}">
                  <a16:creationId xmlns:a16="http://schemas.microsoft.com/office/drawing/2014/main" id="{320A6470-444E-1061-0907-373C7F9E9E98}"/>
                </a:ext>
              </a:extLst>
            </xdr:cNvPr>
            <xdr:cNvCxnSpPr>
              <a:stCxn id="82" idx="4"/>
              <a:endCxn id="77" idx="0"/>
            </xdr:cNvCxnSpPr>
          </xdr:nvCxnSpPr>
          <xdr:spPr>
            <a:xfrm flipH="1">
              <a:off x="2873561" y="1320541"/>
              <a:ext cx="0" cy="184824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8" name="직선 연결선 87">
              <a:extLst>
                <a:ext uri="{FF2B5EF4-FFF2-40B4-BE49-F238E27FC236}">
                  <a16:creationId xmlns:a16="http://schemas.microsoft.com/office/drawing/2014/main" id="{7BB0D4A7-15A9-7C0C-DB53-2016EA5960DB}"/>
                </a:ext>
              </a:extLst>
            </xdr:cNvPr>
            <xdr:cNvCxnSpPr>
              <a:stCxn id="79" idx="4"/>
              <a:endCxn id="78" idx="0"/>
            </xdr:cNvCxnSpPr>
          </xdr:nvCxnSpPr>
          <xdr:spPr>
            <a:xfrm flipH="1">
              <a:off x="2485082" y="1321452"/>
              <a:ext cx="2834" cy="184505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9" name="직선 연결선 88">
              <a:extLst>
                <a:ext uri="{FF2B5EF4-FFF2-40B4-BE49-F238E27FC236}">
                  <a16:creationId xmlns:a16="http://schemas.microsoft.com/office/drawing/2014/main" id="{7A14D0FD-E337-E59B-89EE-6FA032379490}"/>
                </a:ext>
              </a:extLst>
            </xdr:cNvPr>
            <xdr:cNvCxnSpPr>
              <a:stCxn id="76" idx="4"/>
              <a:endCxn id="79" idx="0"/>
            </xdr:cNvCxnSpPr>
          </xdr:nvCxnSpPr>
          <xdr:spPr>
            <a:xfrm flipH="1">
              <a:off x="2487916" y="816504"/>
              <a:ext cx="0" cy="223322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0" name="직선 연결선 89">
              <a:extLst>
                <a:ext uri="{FF2B5EF4-FFF2-40B4-BE49-F238E27FC236}">
                  <a16:creationId xmlns:a16="http://schemas.microsoft.com/office/drawing/2014/main" id="{567D5DE6-357E-73A5-DE1B-D5F100A29E6D}"/>
                </a:ext>
              </a:extLst>
            </xdr:cNvPr>
            <xdr:cNvCxnSpPr>
              <a:stCxn id="84" idx="5"/>
              <a:endCxn id="80" idx="0"/>
            </xdr:cNvCxnSpPr>
          </xdr:nvCxnSpPr>
          <xdr:spPr>
            <a:xfrm>
              <a:off x="3384099" y="1304214"/>
              <a:ext cx="237831" cy="201697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1" name="직선 연결선 90">
              <a:extLst>
                <a:ext uri="{FF2B5EF4-FFF2-40B4-BE49-F238E27FC236}">
                  <a16:creationId xmlns:a16="http://schemas.microsoft.com/office/drawing/2014/main" id="{183BE268-E03D-A93C-BC59-BED2E4DEBA99}"/>
                </a:ext>
              </a:extLst>
            </xdr:cNvPr>
            <xdr:cNvCxnSpPr>
              <a:stCxn id="86" idx="4"/>
              <a:endCxn id="81" idx="0"/>
            </xdr:cNvCxnSpPr>
          </xdr:nvCxnSpPr>
          <xdr:spPr>
            <a:xfrm>
              <a:off x="3239920" y="1802130"/>
              <a:ext cx="724" cy="218948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2" name="직선 연결선 91">
              <a:extLst>
                <a:ext uri="{FF2B5EF4-FFF2-40B4-BE49-F238E27FC236}">
                  <a16:creationId xmlns:a16="http://schemas.microsoft.com/office/drawing/2014/main" id="{91A6C894-7CF7-2F63-F9CA-26BD32216A88}"/>
                </a:ext>
              </a:extLst>
            </xdr:cNvPr>
            <xdr:cNvCxnSpPr>
              <a:stCxn id="76" idx="5"/>
              <a:endCxn id="82" idx="1"/>
            </xdr:cNvCxnSpPr>
          </xdr:nvCxnSpPr>
          <xdr:spPr>
            <a:xfrm>
              <a:off x="2603041" y="780214"/>
              <a:ext cx="161025" cy="298876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3" name="직선 연결선 92">
              <a:extLst>
                <a:ext uri="{FF2B5EF4-FFF2-40B4-BE49-F238E27FC236}">
                  <a16:creationId xmlns:a16="http://schemas.microsoft.com/office/drawing/2014/main" id="{5E547889-CAFF-A12A-3A44-684599FB3B4A}"/>
                </a:ext>
              </a:extLst>
            </xdr:cNvPr>
            <xdr:cNvCxnSpPr>
              <a:stCxn id="86" idx="4"/>
              <a:endCxn id="83" idx="0"/>
            </xdr:cNvCxnSpPr>
          </xdr:nvCxnSpPr>
          <xdr:spPr>
            <a:xfrm flipH="1">
              <a:off x="2869830" y="1798319"/>
              <a:ext cx="371042" cy="201533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4" name="직선 연결선 93">
              <a:extLst>
                <a:ext uri="{FF2B5EF4-FFF2-40B4-BE49-F238E27FC236}">
                  <a16:creationId xmlns:a16="http://schemas.microsoft.com/office/drawing/2014/main" id="{D5C85E91-63E7-7FC7-0ED7-29D8885A484C}"/>
                </a:ext>
              </a:extLst>
            </xdr:cNvPr>
            <xdr:cNvCxnSpPr>
              <a:stCxn id="76" idx="5"/>
              <a:endCxn id="84" idx="1"/>
            </xdr:cNvCxnSpPr>
          </xdr:nvCxnSpPr>
          <xdr:spPr>
            <a:xfrm>
              <a:off x="2603041" y="780214"/>
              <a:ext cx="580362" cy="318852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5" name="직선 연결선 94">
              <a:extLst>
                <a:ext uri="{FF2B5EF4-FFF2-40B4-BE49-F238E27FC236}">
                  <a16:creationId xmlns:a16="http://schemas.microsoft.com/office/drawing/2014/main" id="{B8CAB710-ACC1-8ABF-ED7D-43ED0FC867A4}"/>
                </a:ext>
              </a:extLst>
            </xdr:cNvPr>
            <xdr:cNvCxnSpPr>
              <a:stCxn id="78" idx="4"/>
              <a:endCxn id="85" idx="0"/>
            </xdr:cNvCxnSpPr>
          </xdr:nvCxnSpPr>
          <xdr:spPr>
            <a:xfrm>
              <a:off x="2485082" y="1811506"/>
              <a:ext cx="276" cy="208246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75" name="직사각형 74">
            <a:extLst>
              <a:ext uri="{FF2B5EF4-FFF2-40B4-BE49-F238E27FC236}">
                <a16:creationId xmlns:a16="http://schemas.microsoft.com/office/drawing/2014/main" id="{2C14EDD9-51DA-D877-41E3-187BFAB77444}"/>
              </a:ext>
            </a:extLst>
          </xdr:cNvPr>
          <xdr:cNvSpPr/>
        </xdr:nvSpPr>
        <xdr:spPr>
          <a:xfrm>
            <a:off x="1939291" y="438150"/>
            <a:ext cx="1666875" cy="245745"/>
          </a:xfrm>
          <a:prstGeom prst="rect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1 3</a:t>
            </a:r>
            <a:r>
              <a:rPr lang="en-US" altLang="ko-KR" sz="1100" baseline="0"/>
              <a:t> 9</a:t>
            </a:r>
            <a:r>
              <a:rPr lang="en-US" altLang="ko-KR" sz="1100"/>
              <a:t>  =&gt; YES</a:t>
            </a:r>
            <a:endParaRPr lang="ko-KR" altLang="en-US" sz="1100"/>
          </a:p>
        </xdr:txBody>
      </xdr:sp>
    </xdr:grpSp>
    <xdr:clientData/>
  </xdr:twoCellAnchor>
  <xdr:twoCellAnchor>
    <xdr:from>
      <xdr:col>9</xdr:col>
      <xdr:colOff>16362</xdr:colOff>
      <xdr:row>2</xdr:row>
      <xdr:rowOff>71270</xdr:rowOff>
    </xdr:from>
    <xdr:to>
      <xdr:col>11</xdr:col>
      <xdr:colOff>362960</xdr:colOff>
      <xdr:row>12</xdr:row>
      <xdr:rowOff>29591</xdr:rowOff>
    </xdr:to>
    <xdr:grpSp>
      <xdr:nvGrpSpPr>
        <xdr:cNvPr id="96" name="그룹 95">
          <a:extLst>
            <a:ext uri="{FF2B5EF4-FFF2-40B4-BE49-F238E27FC236}">
              <a16:creationId xmlns:a16="http://schemas.microsoft.com/office/drawing/2014/main" id="{063D0BD3-B720-4511-8046-BEDFB951E3D8}"/>
            </a:ext>
          </a:extLst>
        </xdr:cNvPr>
        <xdr:cNvGrpSpPr/>
      </xdr:nvGrpSpPr>
      <xdr:grpSpPr>
        <a:xfrm>
          <a:off x="5586582" y="520850"/>
          <a:ext cx="1687718" cy="2168121"/>
          <a:chOff x="1939291" y="438150"/>
          <a:chExt cx="1666875" cy="2150304"/>
        </a:xfrm>
      </xdr:grpSpPr>
      <xdr:grpSp>
        <xdr:nvGrpSpPr>
          <xdr:cNvPr id="97" name="그룹 96">
            <a:extLst>
              <a:ext uri="{FF2B5EF4-FFF2-40B4-BE49-F238E27FC236}">
                <a16:creationId xmlns:a16="http://schemas.microsoft.com/office/drawing/2014/main" id="{ED20320D-ACD3-D292-3F66-7BDB27130177}"/>
              </a:ext>
            </a:extLst>
          </xdr:cNvPr>
          <xdr:cNvGrpSpPr/>
        </xdr:nvGrpSpPr>
        <xdr:grpSpPr>
          <a:xfrm>
            <a:off x="2050181" y="790991"/>
            <a:ext cx="1453586" cy="1801273"/>
            <a:chOff x="2326406" y="520481"/>
            <a:chExt cx="1455491" cy="1797463"/>
          </a:xfrm>
        </xdr:grpSpPr>
        <xdr:sp macro="" textlink="">
          <xdr:nvSpPr>
            <xdr:cNvPr id="99" name="타원 98">
              <a:extLst>
                <a:ext uri="{FF2B5EF4-FFF2-40B4-BE49-F238E27FC236}">
                  <a16:creationId xmlns:a16="http://schemas.microsoft.com/office/drawing/2014/main" id="{462445FD-8FDB-204A-4EFB-7E59120D0442}"/>
                </a:ext>
              </a:extLst>
            </xdr:cNvPr>
            <xdr:cNvSpPr/>
          </xdr:nvSpPr>
          <xdr:spPr>
            <a:xfrm>
              <a:off x="2341245" y="520481"/>
              <a:ext cx="303828" cy="299833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</a:t>
              </a:r>
              <a:endParaRPr lang="ko-KR" altLang="en-US" sz="1400"/>
            </a:p>
          </xdr:txBody>
        </xdr:sp>
        <xdr:sp macro="" textlink="">
          <xdr:nvSpPr>
            <xdr:cNvPr id="100" name="타원 99">
              <a:extLst>
                <a:ext uri="{FF2B5EF4-FFF2-40B4-BE49-F238E27FC236}">
                  <a16:creationId xmlns:a16="http://schemas.microsoft.com/office/drawing/2014/main" id="{75382A83-47C4-3316-5454-9B329148CA3C}"/>
                </a:ext>
              </a:extLst>
            </xdr:cNvPr>
            <xdr:cNvSpPr/>
          </xdr:nvSpPr>
          <xdr:spPr>
            <a:xfrm>
              <a:off x="2714546" y="1501555"/>
              <a:ext cx="306599" cy="301738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2</a:t>
              </a:r>
              <a:endParaRPr lang="ko-KR" altLang="en-US" sz="1400"/>
            </a:p>
          </xdr:txBody>
        </xdr:sp>
        <xdr:sp macro="" textlink="">
          <xdr:nvSpPr>
            <xdr:cNvPr id="101" name="타원 100">
              <a:extLst>
                <a:ext uri="{FF2B5EF4-FFF2-40B4-BE49-F238E27FC236}">
                  <a16:creationId xmlns:a16="http://schemas.microsoft.com/office/drawing/2014/main" id="{ECC034F0-763E-456F-E82A-B2A829FCDED5}"/>
                </a:ext>
              </a:extLst>
            </xdr:cNvPr>
            <xdr:cNvSpPr/>
          </xdr:nvSpPr>
          <xdr:spPr>
            <a:xfrm>
              <a:off x="2326406" y="1502147"/>
              <a:ext cx="311636" cy="311264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3</a:t>
              </a:r>
              <a:endParaRPr lang="ko-KR" altLang="en-US" sz="1400"/>
            </a:p>
          </xdr:txBody>
        </xdr:sp>
        <xdr:sp macro="" textlink="">
          <xdr:nvSpPr>
            <xdr:cNvPr id="102" name="타원 101">
              <a:extLst>
                <a:ext uri="{FF2B5EF4-FFF2-40B4-BE49-F238E27FC236}">
                  <a16:creationId xmlns:a16="http://schemas.microsoft.com/office/drawing/2014/main" id="{A98B15FF-80E9-3C1E-3D5D-BBC1A5B55FA9}"/>
                </a:ext>
              </a:extLst>
            </xdr:cNvPr>
            <xdr:cNvSpPr/>
          </xdr:nvSpPr>
          <xdr:spPr>
            <a:xfrm>
              <a:off x="2327334" y="1036016"/>
              <a:ext cx="317353" cy="29115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4</a:t>
              </a:r>
              <a:endParaRPr lang="ko-KR" altLang="en-US" sz="1400"/>
            </a:p>
          </xdr:txBody>
        </xdr:sp>
        <xdr:sp macro="" textlink="">
          <xdr:nvSpPr>
            <xdr:cNvPr id="103" name="타원 102">
              <a:extLst>
                <a:ext uri="{FF2B5EF4-FFF2-40B4-BE49-F238E27FC236}">
                  <a16:creationId xmlns:a16="http://schemas.microsoft.com/office/drawing/2014/main" id="{97EC4B21-E4D2-4F36-F714-9C350BB4D764}"/>
                </a:ext>
              </a:extLst>
            </xdr:cNvPr>
            <xdr:cNvSpPr/>
          </xdr:nvSpPr>
          <xdr:spPr>
            <a:xfrm>
              <a:off x="3473393" y="1511626"/>
              <a:ext cx="308504" cy="29877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5</a:t>
              </a:r>
              <a:endParaRPr lang="ko-KR" altLang="en-US" sz="1400"/>
            </a:p>
          </xdr:txBody>
        </xdr:sp>
        <xdr:sp macro="" textlink="">
          <xdr:nvSpPr>
            <xdr:cNvPr id="104" name="타원 103">
              <a:extLst>
                <a:ext uri="{FF2B5EF4-FFF2-40B4-BE49-F238E27FC236}">
                  <a16:creationId xmlns:a16="http://schemas.microsoft.com/office/drawing/2014/main" id="{96ED81D2-8EE7-7642-2789-F898BB24DD84}"/>
                </a:ext>
              </a:extLst>
            </xdr:cNvPr>
            <xdr:cNvSpPr/>
          </xdr:nvSpPr>
          <xdr:spPr>
            <a:xfrm>
              <a:off x="3095787" y="2017268"/>
              <a:ext cx="291618" cy="300676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6</a:t>
              </a:r>
              <a:endParaRPr lang="ko-KR" altLang="en-US" sz="1400"/>
            </a:p>
          </xdr:txBody>
        </xdr:sp>
        <xdr:sp macro="" textlink="">
          <xdr:nvSpPr>
            <xdr:cNvPr id="105" name="타원 104">
              <a:extLst>
                <a:ext uri="{FF2B5EF4-FFF2-40B4-BE49-F238E27FC236}">
                  <a16:creationId xmlns:a16="http://schemas.microsoft.com/office/drawing/2014/main" id="{16002AD7-6225-429F-EA5C-6FB6EDE81411}"/>
                </a:ext>
              </a:extLst>
            </xdr:cNvPr>
            <xdr:cNvSpPr/>
          </xdr:nvSpPr>
          <xdr:spPr>
            <a:xfrm>
              <a:off x="2721991" y="1038915"/>
              <a:ext cx="298412" cy="28734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7</a:t>
              </a:r>
              <a:endParaRPr lang="ko-KR" altLang="en-US" sz="1400"/>
            </a:p>
          </xdr:txBody>
        </xdr:sp>
        <xdr:sp macro="" textlink="">
          <xdr:nvSpPr>
            <xdr:cNvPr id="106" name="타원 105">
              <a:extLst>
                <a:ext uri="{FF2B5EF4-FFF2-40B4-BE49-F238E27FC236}">
                  <a16:creationId xmlns:a16="http://schemas.microsoft.com/office/drawing/2014/main" id="{E0AA66D7-33EF-7A4E-C1A9-E11C669D414D}"/>
                </a:ext>
              </a:extLst>
            </xdr:cNvPr>
            <xdr:cNvSpPr/>
          </xdr:nvSpPr>
          <xdr:spPr>
            <a:xfrm>
              <a:off x="2721576" y="1999852"/>
              <a:ext cx="296507" cy="30639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8</a:t>
              </a:r>
              <a:endParaRPr lang="ko-KR" altLang="en-US" sz="1400"/>
            </a:p>
          </xdr:txBody>
        </xdr:sp>
        <xdr:sp macro="" textlink="">
          <xdr:nvSpPr>
            <xdr:cNvPr id="107" name="타원 106">
              <a:extLst>
                <a:ext uri="{FF2B5EF4-FFF2-40B4-BE49-F238E27FC236}">
                  <a16:creationId xmlns:a16="http://schemas.microsoft.com/office/drawing/2014/main" id="{22C2B2DF-0D41-ABA0-0B1D-B539D19F66F9}"/>
                </a:ext>
              </a:extLst>
            </xdr:cNvPr>
            <xdr:cNvSpPr/>
          </xdr:nvSpPr>
          <xdr:spPr>
            <a:xfrm>
              <a:off x="3136450" y="1053885"/>
              <a:ext cx="288887" cy="287890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9</a:t>
              </a:r>
              <a:endParaRPr lang="ko-KR" altLang="en-US" sz="1400"/>
            </a:p>
          </xdr:txBody>
        </xdr:sp>
        <xdr:sp macro="" textlink="">
          <xdr:nvSpPr>
            <xdr:cNvPr id="108" name="타원 107">
              <a:extLst>
                <a:ext uri="{FF2B5EF4-FFF2-40B4-BE49-F238E27FC236}">
                  <a16:creationId xmlns:a16="http://schemas.microsoft.com/office/drawing/2014/main" id="{A448219B-6FE7-F63F-2E8F-72FF43D703FB}"/>
                </a:ext>
              </a:extLst>
            </xdr:cNvPr>
            <xdr:cNvSpPr/>
          </xdr:nvSpPr>
          <xdr:spPr>
            <a:xfrm>
              <a:off x="2326681" y="2015942"/>
              <a:ext cx="311638" cy="289246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10</a:t>
              </a:r>
              <a:endParaRPr lang="ko-KR" altLang="en-US" sz="1400"/>
            </a:p>
          </xdr:txBody>
        </xdr:sp>
        <xdr:sp macro="" textlink="">
          <xdr:nvSpPr>
            <xdr:cNvPr id="109" name="타원 108">
              <a:extLst>
                <a:ext uri="{FF2B5EF4-FFF2-40B4-BE49-F238E27FC236}">
                  <a16:creationId xmlns:a16="http://schemas.microsoft.com/office/drawing/2014/main" id="{D3678DD1-67C9-DAD4-E41D-5AC2B1D25E7B}"/>
                </a:ext>
              </a:extLst>
            </xdr:cNvPr>
            <xdr:cNvSpPr/>
          </xdr:nvSpPr>
          <xdr:spPr>
            <a:xfrm>
              <a:off x="3094653" y="1502297"/>
              <a:ext cx="292438" cy="296023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11</a:t>
              </a:r>
              <a:endParaRPr lang="ko-KR" altLang="en-US" sz="1400"/>
            </a:p>
          </xdr:txBody>
        </xdr:sp>
        <xdr:cxnSp macro="">
          <xdr:nvCxnSpPr>
            <xdr:cNvPr id="110" name="직선 연결선 109">
              <a:extLst>
                <a:ext uri="{FF2B5EF4-FFF2-40B4-BE49-F238E27FC236}">
                  <a16:creationId xmlns:a16="http://schemas.microsoft.com/office/drawing/2014/main" id="{77D03386-75B5-F59C-3F1C-ED26423E5091}"/>
                </a:ext>
              </a:extLst>
            </xdr:cNvPr>
            <xdr:cNvCxnSpPr>
              <a:stCxn id="105" idx="4"/>
              <a:endCxn id="100" idx="0"/>
            </xdr:cNvCxnSpPr>
          </xdr:nvCxnSpPr>
          <xdr:spPr>
            <a:xfrm flipH="1">
              <a:off x="2873561" y="1320541"/>
              <a:ext cx="0" cy="184824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1" name="직선 연결선 110">
              <a:extLst>
                <a:ext uri="{FF2B5EF4-FFF2-40B4-BE49-F238E27FC236}">
                  <a16:creationId xmlns:a16="http://schemas.microsoft.com/office/drawing/2014/main" id="{75710943-0D18-A3EE-0C2A-6E867C4292B1}"/>
                </a:ext>
              </a:extLst>
            </xdr:cNvPr>
            <xdr:cNvCxnSpPr>
              <a:stCxn id="102" idx="4"/>
              <a:endCxn id="101" idx="0"/>
            </xdr:cNvCxnSpPr>
          </xdr:nvCxnSpPr>
          <xdr:spPr>
            <a:xfrm flipH="1">
              <a:off x="2485082" y="1321452"/>
              <a:ext cx="2834" cy="184505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2" name="직선 연결선 111">
              <a:extLst>
                <a:ext uri="{FF2B5EF4-FFF2-40B4-BE49-F238E27FC236}">
                  <a16:creationId xmlns:a16="http://schemas.microsoft.com/office/drawing/2014/main" id="{A3225F03-11D0-2A28-AA78-B446293F71E8}"/>
                </a:ext>
              </a:extLst>
            </xdr:cNvPr>
            <xdr:cNvCxnSpPr>
              <a:stCxn id="99" idx="4"/>
              <a:endCxn id="102" idx="0"/>
            </xdr:cNvCxnSpPr>
          </xdr:nvCxnSpPr>
          <xdr:spPr>
            <a:xfrm flipH="1">
              <a:off x="2487916" y="816504"/>
              <a:ext cx="0" cy="223322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3" name="직선 연결선 112">
              <a:extLst>
                <a:ext uri="{FF2B5EF4-FFF2-40B4-BE49-F238E27FC236}">
                  <a16:creationId xmlns:a16="http://schemas.microsoft.com/office/drawing/2014/main" id="{3EBB00D3-D5CE-16DE-82F8-B8A7543EC71F}"/>
                </a:ext>
              </a:extLst>
            </xdr:cNvPr>
            <xdr:cNvCxnSpPr>
              <a:stCxn id="107" idx="5"/>
              <a:endCxn id="103" idx="0"/>
            </xdr:cNvCxnSpPr>
          </xdr:nvCxnSpPr>
          <xdr:spPr>
            <a:xfrm>
              <a:off x="3384099" y="1304214"/>
              <a:ext cx="237831" cy="201697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4" name="직선 연결선 113">
              <a:extLst>
                <a:ext uri="{FF2B5EF4-FFF2-40B4-BE49-F238E27FC236}">
                  <a16:creationId xmlns:a16="http://schemas.microsoft.com/office/drawing/2014/main" id="{A7392C54-C9B4-4AC8-3705-A041BC50897A}"/>
                </a:ext>
              </a:extLst>
            </xdr:cNvPr>
            <xdr:cNvCxnSpPr>
              <a:stCxn id="109" idx="4"/>
              <a:endCxn id="104" idx="0"/>
            </xdr:cNvCxnSpPr>
          </xdr:nvCxnSpPr>
          <xdr:spPr>
            <a:xfrm>
              <a:off x="3239920" y="1802130"/>
              <a:ext cx="724" cy="218948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5" name="직선 연결선 114">
              <a:extLst>
                <a:ext uri="{FF2B5EF4-FFF2-40B4-BE49-F238E27FC236}">
                  <a16:creationId xmlns:a16="http://schemas.microsoft.com/office/drawing/2014/main" id="{1AF4543B-90D7-C2DB-21D2-42FFAAA37532}"/>
                </a:ext>
              </a:extLst>
            </xdr:cNvPr>
            <xdr:cNvCxnSpPr>
              <a:stCxn id="99" idx="5"/>
              <a:endCxn id="105" idx="1"/>
            </xdr:cNvCxnSpPr>
          </xdr:nvCxnSpPr>
          <xdr:spPr>
            <a:xfrm>
              <a:off x="2603041" y="780214"/>
              <a:ext cx="161025" cy="298876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6" name="직선 연결선 115">
              <a:extLst>
                <a:ext uri="{FF2B5EF4-FFF2-40B4-BE49-F238E27FC236}">
                  <a16:creationId xmlns:a16="http://schemas.microsoft.com/office/drawing/2014/main" id="{EB273F3E-E387-F14A-E0EA-B706B95E760A}"/>
                </a:ext>
              </a:extLst>
            </xdr:cNvPr>
            <xdr:cNvCxnSpPr>
              <a:stCxn id="109" idx="4"/>
              <a:endCxn id="106" idx="0"/>
            </xdr:cNvCxnSpPr>
          </xdr:nvCxnSpPr>
          <xdr:spPr>
            <a:xfrm flipH="1">
              <a:off x="2869830" y="1798320"/>
              <a:ext cx="371042" cy="201532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7" name="직선 연결선 116">
              <a:extLst>
                <a:ext uri="{FF2B5EF4-FFF2-40B4-BE49-F238E27FC236}">
                  <a16:creationId xmlns:a16="http://schemas.microsoft.com/office/drawing/2014/main" id="{B56A49EA-60D7-B027-FB22-581E66AC441B}"/>
                </a:ext>
              </a:extLst>
            </xdr:cNvPr>
            <xdr:cNvCxnSpPr>
              <a:stCxn id="99" idx="5"/>
              <a:endCxn id="107" idx="1"/>
            </xdr:cNvCxnSpPr>
          </xdr:nvCxnSpPr>
          <xdr:spPr>
            <a:xfrm>
              <a:off x="2603041" y="780214"/>
              <a:ext cx="580362" cy="318852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98" name="직사각형 97">
            <a:extLst>
              <a:ext uri="{FF2B5EF4-FFF2-40B4-BE49-F238E27FC236}">
                <a16:creationId xmlns:a16="http://schemas.microsoft.com/office/drawing/2014/main" id="{AE9656A7-7239-C690-2FCE-3C07911289C7}"/>
              </a:ext>
            </a:extLst>
          </xdr:cNvPr>
          <xdr:cNvSpPr/>
        </xdr:nvSpPr>
        <xdr:spPr>
          <a:xfrm>
            <a:off x="1939291" y="438150"/>
            <a:ext cx="1666875" cy="245745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0 10</a:t>
            </a:r>
            <a:endParaRPr lang="ko-KR" altLang="en-US" sz="1100"/>
          </a:p>
        </xdr:txBody>
      </xdr:sp>
    </xdr:grpSp>
    <xdr:clientData/>
  </xdr:twoCellAnchor>
  <xdr:twoCellAnchor>
    <xdr:from>
      <xdr:col>12</xdr:col>
      <xdr:colOff>20395</xdr:colOff>
      <xdr:row>2</xdr:row>
      <xdr:rowOff>71270</xdr:rowOff>
    </xdr:from>
    <xdr:to>
      <xdr:col>14</xdr:col>
      <xdr:colOff>340323</xdr:colOff>
      <xdr:row>12</xdr:row>
      <xdr:rowOff>27756</xdr:rowOff>
    </xdr:to>
    <xdr:grpSp>
      <xdr:nvGrpSpPr>
        <xdr:cNvPr id="118" name="그룹 117">
          <a:extLst>
            <a:ext uri="{FF2B5EF4-FFF2-40B4-BE49-F238E27FC236}">
              <a16:creationId xmlns:a16="http://schemas.microsoft.com/office/drawing/2014/main" id="{F9B81F8B-A799-4B77-954B-C6CBB86DC705}"/>
            </a:ext>
          </a:extLst>
        </xdr:cNvPr>
        <xdr:cNvGrpSpPr/>
      </xdr:nvGrpSpPr>
      <xdr:grpSpPr>
        <a:xfrm>
          <a:off x="7602295" y="520850"/>
          <a:ext cx="1661048" cy="2166286"/>
          <a:chOff x="1935489" y="441881"/>
          <a:chExt cx="1668770" cy="2150383"/>
        </a:xfrm>
      </xdr:grpSpPr>
      <xdr:grpSp>
        <xdr:nvGrpSpPr>
          <xdr:cNvPr id="119" name="그룹 118">
            <a:extLst>
              <a:ext uri="{FF2B5EF4-FFF2-40B4-BE49-F238E27FC236}">
                <a16:creationId xmlns:a16="http://schemas.microsoft.com/office/drawing/2014/main" id="{6ECFA794-CF1C-42D6-4CDA-11D1F1D644D8}"/>
              </a:ext>
            </a:extLst>
          </xdr:cNvPr>
          <xdr:cNvGrpSpPr/>
        </xdr:nvGrpSpPr>
        <xdr:grpSpPr>
          <a:xfrm>
            <a:off x="2050181" y="790991"/>
            <a:ext cx="1453586" cy="1801273"/>
            <a:chOff x="2326406" y="520481"/>
            <a:chExt cx="1455491" cy="1797463"/>
          </a:xfrm>
        </xdr:grpSpPr>
        <xdr:sp macro="" textlink="">
          <xdr:nvSpPr>
            <xdr:cNvPr id="121" name="타원 120">
              <a:extLst>
                <a:ext uri="{FF2B5EF4-FFF2-40B4-BE49-F238E27FC236}">
                  <a16:creationId xmlns:a16="http://schemas.microsoft.com/office/drawing/2014/main" id="{D76FB20E-4B61-360D-705B-09CE08CBDB57}"/>
                </a:ext>
              </a:extLst>
            </xdr:cNvPr>
            <xdr:cNvSpPr/>
          </xdr:nvSpPr>
          <xdr:spPr>
            <a:xfrm>
              <a:off x="2341245" y="520481"/>
              <a:ext cx="303828" cy="299833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</a:t>
              </a:r>
              <a:endParaRPr lang="ko-KR" altLang="en-US" sz="1400"/>
            </a:p>
          </xdr:txBody>
        </xdr:sp>
        <xdr:sp macro="" textlink="">
          <xdr:nvSpPr>
            <xdr:cNvPr id="122" name="타원 121">
              <a:extLst>
                <a:ext uri="{FF2B5EF4-FFF2-40B4-BE49-F238E27FC236}">
                  <a16:creationId xmlns:a16="http://schemas.microsoft.com/office/drawing/2014/main" id="{7D1DB6A1-6C67-90D4-8AC0-02EEFD7B7BD0}"/>
                </a:ext>
              </a:extLst>
            </xdr:cNvPr>
            <xdr:cNvSpPr/>
          </xdr:nvSpPr>
          <xdr:spPr>
            <a:xfrm>
              <a:off x="2714546" y="1501555"/>
              <a:ext cx="306599" cy="301738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2</a:t>
              </a:r>
              <a:endParaRPr lang="ko-KR" altLang="en-US" sz="1400"/>
            </a:p>
          </xdr:txBody>
        </xdr:sp>
        <xdr:sp macro="" textlink="">
          <xdr:nvSpPr>
            <xdr:cNvPr id="123" name="타원 122">
              <a:extLst>
                <a:ext uri="{FF2B5EF4-FFF2-40B4-BE49-F238E27FC236}">
                  <a16:creationId xmlns:a16="http://schemas.microsoft.com/office/drawing/2014/main" id="{71A9A5CA-E414-50E5-D58D-0B3D05DE4D43}"/>
                </a:ext>
              </a:extLst>
            </xdr:cNvPr>
            <xdr:cNvSpPr/>
          </xdr:nvSpPr>
          <xdr:spPr>
            <a:xfrm>
              <a:off x="2326406" y="1502147"/>
              <a:ext cx="311636" cy="311264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3</a:t>
              </a:r>
              <a:endParaRPr lang="ko-KR" altLang="en-US" sz="1400"/>
            </a:p>
          </xdr:txBody>
        </xdr:sp>
        <xdr:sp macro="" textlink="">
          <xdr:nvSpPr>
            <xdr:cNvPr id="124" name="타원 123">
              <a:extLst>
                <a:ext uri="{FF2B5EF4-FFF2-40B4-BE49-F238E27FC236}">
                  <a16:creationId xmlns:a16="http://schemas.microsoft.com/office/drawing/2014/main" id="{27D6DC0E-D037-619C-A29E-475B0B3965F6}"/>
                </a:ext>
              </a:extLst>
            </xdr:cNvPr>
            <xdr:cNvSpPr/>
          </xdr:nvSpPr>
          <xdr:spPr>
            <a:xfrm>
              <a:off x="2327334" y="1036016"/>
              <a:ext cx="317353" cy="29115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4</a:t>
              </a:r>
              <a:endParaRPr lang="ko-KR" altLang="en-US" sz="1400"/>
            </a:p>
          </xdr:txBody>
        </xdr:sp>
        <xdr:sp macro="" textlink="">
          <xdr:nvSpPr>
            <xdr:cNvPr id="125" name="타원 124">
              <a:extLst>
                <a:ext uri="{FF2B5EF4-FFF2-40B4-BE49-F238E27FC236}">
                  <a16:creationId xmlns:a16="http://schemas.microsoft.com/office/drawing/2014/main" id="{66318BC4-928E-0DF5-5313-8450684ED258}"/>
                </a:ext>
              </a:extLst>
            </xdr:cNvPr>
            <xdr:cNvSpPr/>
          </xdr:nvSpPr>
          <xdr:spPr>
            <a:xfrm>
              <a:off x="3473393" y="1511626"/>
              <a:ext cx="308504" cy="29877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5</a:t>
              </a:r>
              <a:endParaRPr lang="ko-KR" altLang="en-US" sz="1400"/>
            </a:p>
          </xdr:txBody>
        </xdr:sp>
        <xdr:sp macro="" textlink="">
          <xdr:nvSpPr>
            <xdr:cNvPr id="126" name="타원 125">
              <a:extLst>
                <a:ext uri="{FF2B5EF4-FFF2-40B4-BE49-F238E27FC236}">
                  <a16:creationId xmlns:a16="http://schemas.microsoft.com/office/drawing/2014/main" id="{FE9CDFCE-0E39-C409-4A1E-4C4A385CCBD3}"/>
                </a:ext>
              </a:extLst>
            </xdr:cNvPr>
            <xdr:cNvSpPr/>
          </xdr:nvSpPr>
          <xdr:spPr>
            <a:xfrm>
              <a:off x="3095787" y="2017268"/>
              <a:ext cx="291618" cy="300676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6</a:t>
              </a:r>
              <a:endParaRPr lang="ko-KR" altLang="en-US" sz="1400"/>
            </a:p>
          </xdr:txBody>
        </xdr:sp>
        <xdr:sp macro="" textlink="">
          <xdr:nvSpPr>
            <xdr:cNvPr id="127" name="타원 126">
              <a:extLst>
                <a:ext uri="{FF2B5EF4-FFF2-40B4-BE49-F238E27FC236}">
                  <a16:creationId xmlns:a16="http://schemas.microsoft.com/office/drawing/2014/main" id="{EEB56F61-0207-A6A9-22BD-364984F1EF3D}"/>
                </a:ext>
              </a:extLst>
            </xdr:cNvPr>
            <xdr:cNvSpPr/>
          </xdr:nvSpPr>
          <xdr:spPr>
            <a:xfrm>
              <a:off x="2721991" y="1038915"/>
              <a:ext cx="298412" cy="28734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7</a:t>
              </a:r>
              <a:endParaRPr lang="ko-KR" altLang="en-US" sz="1400"/>
            </a:p>
          </xdr:txBody>
        </xdr:sp>
        <xdr:sp macro="" textlink="">
          <xdr:nvSpPr>
            <xdr:cNvPr id="128" name="타원 127">
              <a:extLst>
                <a:ext uri="{FF2B5EF4-FFF2-40B4-BE49-F238E27FC236}">
                  <a16:creationId xmlns:a16="http://schemas.microsoft.com/office/drawing/2014/main" id="{742F8604-4DFF-58D3-FB19-072C1ACE7276}"/>
                </a:ext>
              </a:extLst>
            </xdr:cNvPr>
            <xdr:cNvSpPr/>
          </xdr:nvSpPr>
          <xdr:spPr>
            <a:xfrm>
              <a:off x="2721576" y="1999852"/>
              <a:ext cx="296507" cy="30639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8</a:t>
              </a:r>
              <a:endParaRPr lang="ko-KR" altLang="en-US" sz="1400"/>
            </a:p>
          </xdr:txBody>
        </xdr:sp>
        <xdr:sp macro="" textlink="">
          <xdr:nvSpPr>
            <xdr:cNvPr id="129" name="타원 128">
              <a:extLst>
                <a:ext uri="{FF2B5EF4-FFF2-40B4-BE49-F238E27FC236}">
                  <a16:creationId xmlns:a16="http://schemas.microsoft.com/office/drawing/2014/main" id="{EA15E650-5C6E-6BA7-EAB0-72732940CE9C}"/>
                </a:ext>
              </a:extLst>
            </xdr:cNvPr>
            <xdr:cNvSpPr/>
          </xdr:nvSpPr>
          <xdr:spPr>
            <a:xfrm>
              <a:off x="3136450" y="1053885"/>
              <a:ext cx="288887" cy="287890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9</a:t>
              </a:r>
              <a:endParaRPr lang="ko-KR" altLang="en-US" sz="1400"/>
            </a:p>
          </xdr:txBody>
        </xdr:sp>
        <xdr:sp macro="" textlink="">
          <xdr:nvSpPr>
            <xdr:cNvPr id="130" name="타원 129">
              <a:extLst>
                <a:ext uri="{FF2B5EF4-FFF2-40B4-BE49-F238E27FC236}">
                  <a16:creationId xmlns:a16="http://schemas.microsoft.com/office/drawing/2014/main" id="{B8D0ABB6-A6D6-E5F2-1FE1-3D72683E14EB}"/>
                </a:ext>
              </a:extLst>
            </xdr:cNvPr>
            <xdr:cNvSpPr/>
          </xdr:nvSpPr>
          <xdr:spPr>
            <a:xfrm>
              <a:off x="2326681" y="2015942"/>
              <a:ext cx="311638" cy="289246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10</a:t>
              </a:r>
              <a:endParaRPr lang="ko-KR" altLang="en-US" sz="1400"/>
            </a:p>
          </xdr:txBody>
        </xdr:sp>
        <xdr:sp macro="" textlink="">
          <xdr:nvSpPr>
            <xdr:cNvPr id="131" name="타원 130">
              <a:extLst>
                <a:ext uri="{FF2B5EF4-FFF2-40B4-BE49-F238E27FC236}">
                  <a16:creationId xmlns:a16="http://schemas.microsoft.com/office/drawing/2014/main" id="{1415B22F-73E4-DA1A-9F69-BD3494E478AC}"/>
                </a:ext>
              </a:extLst>
            </xdr:cNvPr>
            <xdr:cNvSpPr/>
          </xdr:nvSpPr>
          <xdr:spPr>
            <a:xfrm>
              <a:off x="3094653" y="1502297"/>
              <a:ext cx="292438" cy="296023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11</a:t>
              </a:r>
              <a:endParaRPr lang="ko-KR" altLang="en-US" sz="1400"/>
            </a:p>
          </xdr:txBody>
        </xdr:sp>
        <xdr:cxnSp macro="">
          <xdr:nvCxnSpPr>
            <xdr:cNvPr id="132" name="직선 연결선 131">
              <a:extLst>
                <a:ext uri="{FF2B5EF4-FFF2-40B4-BE49-F238E27FC236}">
                  <a16:creationId xmlns:a16="http://schemas.microsoft.com/office/drawing/2014/main" id="{75D5B00B-8DCD-DAB5-9B8A-D95352CC0588}"/>
                </a:ext>
              </a:extLst>
            </xdr:cNvPr>
            <xdr:cNvCxnSpPr>
              <a:stCxn id="127" idx="4"/>
              <a:endCxn id="122" idx="0"/>
            </xdr:cNvCxnSpPr>
          </xdr:nvCxnSpPr>
          <xdr:spPr>
            <a:xfrm flipH="1">
              <a:off x="2873561" y="1320541"/>
              <a:ext cx="0" cy="184824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3" name="직선 연결선 132">
              <a:extLst>
                <a:ext uri="{FF2B5EF4-FFF2-40B4-BE49-F238E27FC236}">
                  <a16:creationId xmlns:a16="http://schemas.microsoft.com/office/drawing/2014/main" id="{37C7A0A3-F809-CAFD-C796-2DBC9DF7E073}"/>
                </a:ext>
              </a:extLst>
            </xdr:cNvPr>
            <xdr:cNvCxnSpPr>
              <a:stCxn id="124" idx="4"/>
              <a:endCxn id="123" idx="0"/>
            </xdr:cNvCxnSpPr>
          </xdr:nvCxnSpPr>
          <xdr:spPr>
            <a:xfrm flipH="1">
              <a:off x="2485082" y="1321452"/>
              <a:ext cx="2834" cy="184505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4" name="직선 연결선 133">
              <a:extLst>
                <a:ext uri="{FF2B5EF4-FFF2-40B4-BE49-F238E27FC236}">
                  <a16:creationId xmlns:a16="http://schemas.microsoft.com/office/drawing/2014/main" id="{76081A7C-2FF2-D338-C1C0-472CC8B5DEDD}"/>
                </a:ext>
              </a:extLst>
            </xdr:cNvPr>
            <xdr:cNvCxnSpPr>
              <a:stCxn id="121" idx="4"/>
              <a:endCxn id="124" idx="0"/>
            </xdr:cNvCxnSpPr>
          </xdr:nvCxnSpPr>
          <xdr:spPr>
            <a:xfrm flipH="1">
              <a:off x="2487916" y="816504"/>
              <a:ext cx="0" cy="223322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5" name="직선 연결선 134">
              <a:extLst>
                <a:ext uri="{FF2B5EF4-FFF2-40B4-BE49-F238E27FC236}">
                  <a16:creationId xmlns:a16="http://schemas.microsoft.com/office/drawing/2014/main" id="{74CF7F49-6821-7515-68DB-EBC51599DE4C}"/>
                </a:ext>
              </a:extLst>
            </xdr:cNvPr>
            <xdr:cNvCxnSpPr>
              <a:stCxn id="129" idx="5"/>
              <a:endCxn id="125" idx="0"/>
            </xdr:cNvCxnSpPr>
          </xdr:nvCxnSpPr>
          <xdr:spPr>
            <a:xfrm>
              <a:off x="3384099" y="1304214"/>
              <a:ext cx="237831" cy="201697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6" name="직선 연결선 135">
              <a:extLst>
                <a:ext uri="{FF2B5EF4-FFF2-40B4-BE49-F238E27FC236}">
                  <a16:creationId xmlns:a16="http://schemas.microsoft.com/office/drawing/2014/main" id="{8D168261-6258-C159-69D6-A327C34920A4}"/>
                </a:ext>
              </a:extLst>
            </xdr:cNvPr>
            <xdr:cNvCxnSpPr>
              <a:stCxn id="131" idx="4"/>
              <a:endCxn id="126" idx="0"/>
            </xdr:cNvCxnSpPr>
          </xdr:nvCxnSpPr>
          <xdr:spPr>
            <a:xfrm>
              <a:off x="3239920" y="1802130"/>
              <a:ext cx="724" cy="218948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7" name="직선 연결선 136">
              <a:extLst>
                <a:ext uri="{FF2B5EF4-FFF2-40B4-BE49-F238E27FC236}">
                  <a16:creationId xmlns:a16="http://schemas.microsoft.com/office/drawing/2014/main" id="{6A30F529-F1EF-AF56-F05B-15D14BE87218}"/>
                </a:ext>
              </a:extLst>
            </xdr:cNvPr>
            <xdr:cNvCxnSpPr>
              <a:stCxn id="121" idx="5"/>
              <a:endCxn id="127" idx="1"/>
            </xdr:cNvCxnSpPr>
          </xdr:nvCxnSpPr>
          <xdr:spPr>
            <a:xfrm>
              <a:off x="2603041" y="780214"/>
              <a:ext cx="161025" cy="298876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8" name="직선 연결선 137">
              <a:extLst>
                <a:ext uri="{FF2B5EF4-FFF2-40B4-BE49-F238E27FC236}">
                  <a16:creationId xmlns:a16="http://schemas.microsoft.com/office/drawing/2014/main" id="{D82AFCFB-ED85-85D8-1C8D-E0A600768BDB}"/>
                </a:ext>
              </a:extLst>
            </xdr:cNvPr>
            <xdr:cNvCxnSpPr>
              <a:stCxn id="131" idx="4"/>
              <a:endCxn id="128" idx="0"/>
            </xdr:cNvCxnSpPr>
          </xdr:nvCxnSpPr>
          <xdr:spPr>
            <a:xfrm flipH="1">
              <a:off x="2869830" y="1798320"/>
              <a:ext cx="371042" cy="201532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120" name="직사각형 119">
            <a:extLst>
              <a:ext uri="{FF2B5EF4-FFF2-40B4-BE49-F238E27FC236}">
                <a16:creationId xmlns:a16="http://schemas.microsoft.com/office/drawing/2014/main" id="{74155757-6EE9-D0D3-8765-64BF97AEB886}"/>
              </a:ext>
            </a:extLst>
          </xdr:cNvPr>
          <xdr:cNvSpPr/>
        </xdr:nvSpPr>
        <xdr:spPr>
          <a:xfrm>
            <a:off x="1935489" y="441881"/>
            <a:ext cx="1668770" cy="245107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0 9</a:t>
            </a:r>
            <a:endParaRPr lang="ko-KR" altLang="en-US" sz="1100"/>
          </a:p>
        </xdr:txBody>
      </xdr:sp>
    </xdr:grpSp>
    <xdr:clientData/>
  </xdr:twoCellAnchor>
  <xdr:twoCellAnchor>
    <xdr:from>
      <xdr:col>15</xdr:col>
      <xdr:colOff>1569</xdr:colOff>
      <xdr:row>2</xdr:row>
      <xdr:rowOff>71270</xdr:rowOff>
    </xdr:from>
    <xdr:to>
      <xdr:col>17</xdr:col>
      <xdr:colOff>321497</xdr:colOff>
      <xdr:row>12</xdr:row>
      <xdr:rowOff>37281</xdr:rowOff>
    </xdr:to>
    <xdr:grpSp>
      <xdr:nvGrpSpPr>
        <xdr:cNvPr id="139" name="그룹 138">
          <a:extLst>
            <a:ext uri="{FF2B5EF4-FFF2-40B4-BE49-F238E27FC236}">
              <a16:creationId xmlns:a16="http://schemas.microsoft.com/office/drawing/2014/main" id="{C2131125-66FA-417E-A990-CB9E949E1E4B}"/>
            </a:ext>
          </a:extLst>
        </xdr:cNvPr>
        <xdr:cNvGrpSpPr/>
      </xdr:nvGrpSpPr>
      <xdr:grpSpPr>
        <a:xfrm>
          <a:off x="9595149" y="520850"/>
          <a:ext cx="1661048" cy="2175811"/>
          <a:chOff x="1935489" y="441881"/>
          <a:chExt cx="1668770" cy="2150383"/>
        </a:xfrm>
      </xdr:grpSpPr>
      <xdr:grpSp>
        <xdr:nvGrpSpPr>
          <xdr:cNvPr id="140" name="그룹 139">
            <a:extLst>
              <a:ext uri="{FF2B5EF4-FFF2-40B4-BE49-F238E27FC236}">
                <a16:creationId xmlns:a16="http://schemas.microsoft.com/office/drawing/2014/main" id="{2ECAECDB-C66E-450E-7BBF-A86C41CC8BEA}"/>
              </a:ext>
            </a:extLst>
          </xdr:cNvPr>
          <xdr:cNvGrpSpPr/>
        </xdr:nvGrpSpPr>
        <xdr:grpSpPr>
          <a:xfrm>
            <a:off x="2050181" y="790991"/>
            <a:ext cx="1453586" cy="1801273"/>
            <a:chOff x="2326406" y="520481"/>
            <a:chExt cx="1455491" cy="1797463"/>
          </a:xfrm>
        </xdr:grpSpPr>
        <xdr:sp macro="" textlink="">
          <xdr:nvSpPr>
            <xdr:cNvPr id="142" name="타원 141">
              <a:extLst>
                <a:ext uri="{FF2B5EF4-FFF2-40B4-BE49-F238E27FC236}">
                  <a16:creationId xmlns:a16="http://schemas.microsoft.com/office/drawing/2014/main" id="{C519CABC-4AD8-7368-B8A5-71C417BD2C0D}"/>
                </a:ext>
              </a:extLst>
            </xdr:cNvPr>
            <xdr:cNvSpPr/>
          </xdr:nvSpPr>
          <xdr:spPr>
            <a:xfrm>
              <a:off x="2341245" y="520481"/>
              <a:ext cx="303828" cy="299833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</a:t>
              </a:r>
              <a:endParaRPr lang="ko-KR" altLang="en-US" sz="1400"/>
            </a:p>
          </xdr:txBody>
        </xdr:sp>
        <xdr:sp macro="" textlink="">
          <xdr:nvSpPr>
            <xdr:cNvPr id="143" name="타원 142">
              <a:extLst>
                <a:ext uri="{FF2B5EF4-FFF2-40B4-BE49-F238E27FC236}">
                  <a16:creationId xmlns:a16="http://schemas.microsoft.com/office/drawing/2014/main" id="{79F2F1A3-7425-41F2-98D3-E39E9C26654F}"/>
                </a:ext>
              </a:extLst>
            </xdr:cNvPr>
            <xdr:cNvSpPr/>
          </xdr:nvSpPr>
          <xdr:spPr>
            <a:xfrm>
              <a:off x="2714546" y="1501555"/>
              <a:ext cx="306599" cy="301738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2</a:t>
              </a:r>
              <a:endParaRPr lang="ko-KR" altLang="en-US" sz="1400"/>
            </a:p>
          </xdr:txBody>
        </xdr:sp>
        <xdr:sp macro="" textlink="">
          <xdr:nvSpPr>
            <xdr:cNvPr id="144" name="타원 143">
              <a:extLst>
                <a:ext uri="{FF2B5EF4-FFF2-40B4-BE49-F238E27FC236}">
                  <a16:creationId xmlns:a16="http://schemas.microsoft.com/office/drawing/2014/main" id="{8D140C8C-55A6-920B-0DC2-6C87C45E2B6A}"/>
                </a:ext>
              </a:extLst>
            </xdr:cNvPr>
            <xdr:cNvSpPr/>
          </xdr:nvSpPr>
          <xdr:spPr>
            <a:xfrm>
              <a:off x="2326406" y="1502147"/>
              <a:ext cx="311636" cy="311264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3</a:t>
              </a:r>
              <a:endParaRPr lang="ko-KR" altLang="en-US" sz="1400"/>
            </a:p>
          </xdr:txBody>
        </xdr:sp>
        <xdr:sp macro="" textlink="">
          <xdr:nvSpPr>
            <xdr:cNvPr id="145" name="타원 144">
              <a:extLst>
                <a:ext uri="{FF2B5EF4-FFF2-40B4-BE49-F238E27FC236}">
                  <a16:creationId xmlns:a16="http://schemas.microsoft.com/office/drawing/2014/main" id="{FE12A558-C44C-D77B-FE46-156B0163758B}"/>
                </a:ext>
              </a:extLst>
            </xdr:cNvPr>
            <xdr:cNvSpPr/>
          </xdr:nvSpPr>
          <xdr:spPr>
            <a:xfrm>
              <a:off x="2327334" y="1036016"/>
              <a:ext cx="317353" cy="29115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4</a:t>
              </a:r>
              <a:endParaRPr lang="ko-KR" altLang="en-US" sz="1400"/>
            </a:p>
          </xdr:txBody>
        </xdr:sp>
        <xdr:sp macro="" textlink="">
          <xdr:nvSpPr>
            <xdr:cNvPr id="146" name="타원 145">
              <a:extLst>
                <a:ext uri="{FF2B5EF4-FFF2-40B4-BE49-F238E27FC236}">
                  <a16:creationId xmlns:a16="http://schemas.microsoft.com/office/drawing/2014/main" id="{93968339-44AF-995C-5498-B44A9793AA72}"/>
                </a:ext>
              </a:extLst>
            </xdr:cNvPr>
            <xdr:cNvSpPr/>
          </xdr:nvSpPr>
          <xdr:spPr>
            <a:xfrm>
              <a:off x="3473393" y="1511626"/>
              <a:ext cx="308504" cy="29877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5</a:t>
              </a:r>
              <a:endParaRPr lang="ko-KR" altLang="en-US" sz="1400"/>
            </a:p>
          </xdr:txBody>
        </xdr:sp>
        <xdr:sp macro="" textlink="">
          <xdr:nvSpPr>
            <xdr:cNvPr id="147" name="타원 146">
              <a:extLst>
                <a:ext uri="{FF2B5EF4-FFF2-40B4-BE49-F238E27FC236}">
                  <a16:creationId xmlns:a16="http://schemas.microsoft.com/office/drawing/2014/main" id="{302CF4FA-E429-3EBB-7FF8-08663AC111E0}"/>
                </a:ext>
              </a:extLst>
            </xdr:cNvPr>
            <xdr:cNvSpPr/>
          </xdr:nvSpPr>
          <xdr:spPr>
            <a:xfrm>
              <a:off x="3095787" y="2017268"/>
              <a:ext cx="291618" cy="300676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6</a:t>
              </a:r>
              <a:endParaRPr lang="ko-KR" altLang="en-US" sz="1400"/>
            </a:p>
          </xdr:txBody>
        </xdr:sp>
        <xdr:sp macro="" textlink="">
          <xdr:nvSpPr>
            <xdr:cNvPr id="148" name="타원 147">
              <a:extLst>
                <a:ext uri="{FF2B5EF4-FFF2-40B4-BE49-F238E27FC236}">
                  <a16:creationId xmlns:a16="http://schemas.microsoft.com/office/drawing/2014/main" id="{1CB3D6F8-892C-CCDA-71F8-B2974FB8D6E5}"/>
                </a:ext>
              </a:extLst>
            </xdr:cNvPr>
            <xdr:cNvSpPr/>
          </xdr:nvSpPr>
          <xdr:spPr>
            <a:xfrm>
              <a:off x="2721991" y="1038915"/>
              <a:ext cx="298412" cy="28734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7</a:t>
              </a:r>
              <a:endParaRPr lang="ko-KR" altLang="en-US" sz="1400"/>
            </a:p>
          </xdr:txBody>
        </xdr:sp>
        <xdr:sp macro="" textlink="">
          <xdr:nvSpPr>
            <xdr:cNvPr id="149" name="타원 148">
              <a:extLst>
                <a:ext uri="{FF2B5EF4-FFF2-40B4-BE49-F238E27FC236}">
                  <a16:creationId xmlns:a16="http://schemas.microsoft.com/office/drawing/2014/main" id="{327303FB-4E0E-9AEC-B584-9BC599CF1EEE}"/>
                </a:ext>
              </a:extLst>
            </xdr:cNvPr>
            <xdr:cNvSpPr/>
          </xdr:nvSpPr>
          <xdr:spPr>
            <a:xfrm>
              <a:off x="2721576" y="1999852"/>
              <a:ext cx="296507" cy="30639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8</a:t>
              </a:r>
              <a:endParaRPr lang="ko-KR" altLang="en-US" sz="1400"/>
            </a:p>
          </xdr:txBody>
        </xdr:sp>
        <xdr:sp macro="" textlink="">
          <xdr:nvSpPr>
            <xdr:cNvPr id="150" name="타원 149">
              <a:extLst>
                <a:ext uri="{FF2B5EF4-FFF2-40B4-BE49-F238E27FC236}">
                  <a16:creationId xmlns:a16="http://schemas.microsoft.com/office/drawing/2014/main" id="{86A12F54-E8FB-CA76-A358-D5B51FFC7459}"/>
                </a:ext>
              </a:extLst>
            </xdr:cNvPr>
            <xdr:cNvSpPr/>
          </xdr:nvSpPr>
          <xdr:spPr>
            <a:xfrm>
              <a:off x="3136450" y="1053885"/>
              <a:ext cx="288887" cy="287890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9</a:t>
              </a:r>
              <a:endParaRPr lang="ko-KR" altLang="en-US" sz="1400"/>
            </a:p>
          </xdr:txBody>
        </xdr:sp>
        <xdr:sp macro="" textlink="">
          <xdr:nvSpPr>
            <xdr:cNvPr id="151" name="타원 150">
              <a:extLst>
                <a:ext uri="{FF2B5EF4-FFF2-40B4-BE49-F238E27FC236}">
                  <a16:creationId xmlns:a16="http://schemas.microsoft.com/office/drawing/2014/main" id="{19D50238-587A-C529-DCA7-87532EC3D6DD}"/>
                </a:ext>
              </a:extLst>
            </xdr:cNvPr>
            <xdr:cNvSpPr/>
          </xdr:nvSpPr>
          <xdr:spPr>
            <a:xfrm>
              <a:off x="2326681" y="2015942"/>
              <a:ext cx="311638" cy="289246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10</a:t>
              </a:r>
              <a:endParaRPr lang="ko-KR" altLang="en-US" sz="1400"/>
            </a:p>
          </xdr:txBody>
        </xdr:sp>
        <xdr:sp macro="" textlink="">
          <xdr:nvSpPr>
            <xdr:cNvPr id="152" name="타원 151">
              <a:extLst>
                <a:ext uri="{FF2B5EF4-FFF2-40B4-BE49-F238E27FC236}">
                  <a16:creationId xmlns:a16="http://schemas.microsoft.com/office/drawing/2014/main" id="{9E07595C-5B16-82BB-98B2-73D199476941}"/>
                </a:ext>
              </a:extLst>
            </xdr:cNvPr>
            <xdr:cNvSpPr/>
          </xdr:nvSpPr>
          <xdr:spPr>
            <a:xfrm>
              <a:off x="3094653" y="1502297"/>
              <a:ext cx="292438" cy="296023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11</a:t>
              </a:r>
              <a:endParaRPr lang="ko-KR" altLang="en-US" sz="1400"/>
            </a:p>
          </xdr:txBody>
        </xdr:sp>
        <xdr:cxnSp macro="">
          <xdr:nvCxnSpPr>
            <xdr:cNvPr id="153" name="직선 연결선 152">
              <a:extLst>
                <a:ext uri="{FF2B5EF4-FFF2-40B4-BE49-F238E27FC236}">
                  <a16:creationId xmlns:a16="http://schemas.microsoft.com/office/drawing/2014/main" id="{C2B73DD6-139E-497A-55A7-A3CBF6435B8C}"/>
                </a:ext>
              </a:extLst>
            </xdr:cNvPr>
            <xdr:cNvCxnSpPr>
              <a:stCxn id="148" idx="4"/>
              <a:endCxn id="143" idx="0"/>
            </xdr:cNvCxnSpPr>
          </xdr:nvCxnSpPr>
          <xdr:spPr>
            <a:xfrm flipH="1">
              <a:off x="2873561" y="1320541"/>
              <a:ext cx="0" cy="184824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4" name="직선 연결선 153">
              <a:extLst>
                <a:ext uri="{FF2B5EF4-FFF2-40B4-BE49-F238E27FC236}">
                  <a16:creationId xmlns:a16="http://schemas.microsoft.com/office/drawing/2014/main" id="{19243EF2-799C-B294-2572-CE392765CF0B}"/>
                </a:ext>
              </a:extLst>
            </xdr:cNvPr>
            <xdr:cNvCxnSpPr>
              <a:stCxn id="145" idx="4"/>
              <a:endCxn id="144" idx="0"/>
            </xdr:cNvCxnSpPr>
          </xdr:nvCxnSpPr>
          <xdr:spPr>
            <a:xfrm flipH="1">
              <a:off x="2485082" y="1321452"/>
              <a:ext cx="2834" cy="184505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5" name="직선 연결선 154">
              <a:extLst>
                <a:ext uri="{FF2B5EF4-FFF2-40B4-BE49-F238E27FC236}">
                  <a16:creationId xmlns:a16="http://schemas.microsoft.com/office/drawing/2014/main" id="{B291802A-6838-4B77-5C0F-5FB11949B219}"/>
                </a:ext>
              </a:extLst>
            </xdr:cNvPr>
            <xdr:cNvCxnSpPr>
              <a:stCxn id="142" idx="4"/>
              <a:endCxn id="145" idx="0"/>
            </xdr:cNvCxnSpPr>
          </xdr:nvCxnSpPr>
          <xdr:spPr>
            <a:xfrm flipH="1">
              <a:off x="2487916" y="816504"/>
              <a:ext cx="0" cy="223322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6" name="직선 연결선 155">
              <a:extLst>
                <a:ext uri="{FF2B5EF4-FFF2-40B4-BE49-F238E27FC236}">
                  <a16:creationId xmlns:a16="http://schemas.microsoft.com/office/drawing/2014/main" id="{8877157A-A98A-7DFB-926F-BCE61E56310E}"/>
                </a:ext>
              </a:extLst>
            </xdr:cNvPr>
            <xdr:cNvCxnSpPr>
              <a:stCxn id="150" idx="5"/>
              <a:endCxn id="146" idx="0"/>
            </xdr:cNvCxnSpPr>
          </xdr:nvCxnSpPr>
          <xdr:spPr>
            <a:xfrm>
              <a:off x="3384099" y="1304214"/>
              <a:ext cx="237831" cy="201697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7" name="직선 연결선 156">
              <a:extLst>
                <a:ext uri="{FF2B5EF4-FFF2-40B4-BE49-F238E27FC236}">
                  <a16:creationId xmlns:a16="http://schemas.microsoft.com/office/drawing/2014/main" id="{42E5E632-9609-E4F3-0A91-6F2C49B2AEE3}"/>
                </a:ext>
              </a:extLst>
            </xdr:cNvPr>
            <xdr:cNvCxnSpPr>
              <a:stCxn id="152" idx="4"/>
              <a:endCxn id="147" idx="0"/>
            </xdr:cNvCxnSpPr>
          </xdr:nvCxnSpPr>
          <xdr:spPr>
            <a:xfrm>
              <a:off x="3239920" y="1802130"/>
              <a:ext cx="724" cy="218948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8" name="직선 연결선 157">
              <a:extLst>
                <a:ext uri="{FF2B5EF4-FFF2-40B4-BE49-F238E27FC236}">
                  <a16:creationId xmlns:a16="http://schemas.microsoft.com/office/drawing/2014/main" id="{DF715DD6-0A86-50C5-7F03-5DEFB91F4E9A}"/>
                </a:ext>
              </a:extLst>
            </xdr:cNvPr>
            <xdr:cNvCxnSpPr>
              <a:stCxn id="152" idx="4"/>
              <a:endCxn id="149" idx="0"/>
            </xdr:cNvCxnSpPr>
          </xdr:nvCxnSpPr>
          <xdr:spPr>
            <a:xfrm flipH="1">
              <a:off x="2869830" y="1798320"/>
              <a:ext cx="371042" cy="201532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141" name="직사각형 140">
            <a:extLst>
              <a:ext uri="{FF2B5EF4-FFF2-40B4-BE49-F238E27FC236}">
                <a16:creationId xmlns:a16="http://schemas.microsoft.com/office/drawing/2014/main" id="{EAA89D2F-7124-F609-67CB-91BE5303C381}"/>
              </a:ext>
            </a:extLst>
          </xdr:cNvPr>
          <xdr:cNvSpPr/>
        </xdr:nvSpPr>
        <xdr:spPr>
          <a:xfrm>
            <a:off x="1935489" y="441881"/>
            <a:ext cx="1668770" cy="245107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0 7</a:t>
            </a:r>
            <a:endParaRPr lang="ko-KR" altLang="en-US" sz="1100"/>
          </a:p>
        </xdr:txBody>
      </xdr:sp>
    </xdr:grpSp>
    <xdr:clientData/>
  </xdr:twoCellAnchor>
  <xdr:twoCellAnchor>
    <xdr:from>
      <xdr:col>15</xdr:col>
      <xdr:colOff>1569</xdr:colOff>
      <xdr:row>13</xdr:row>
      <xdr:rowOff>75080</xdr:rowOff>
    </xdr:from>
    <xdr:to>
      <xdr:col>17</xdr:col>
      <xdr:colOff>325307</xdr:colOff>
      <xdr:row>23</xdr:row>
      <xdr:rowOff>39186</xdr:rowOff>
    </xdr:to>
    <xdr:grpSp>
      <xdr:nvGrpSpPr>
        <xdr:cNvPr id="159" name="그룹 158">
          <a:extLst>
            <a:ext uri="{FF2B5EF4-FFF2-40B4-BE49-F238E27FC236}">
              <a16:creationId xmlns:a16="http://schemas.microsoft.com/office/drawing/2014/main" id="{B55FE320-E939-4264-A597-344551F6BE0C}"/>
            </a:ext>
          </a:extLst>
        </xdr:cNvPr>
        <xdr:cNvGrpSpPr/>
      </xdr:nvGrpSpPr>
      <xdr:grpSpPr>
        <a:xfrm>
          <a:off x="9595149" y="2955440"/>
          <a:ext cx="1664858" cy="2173906"/>
          <a:chOff x="1935489" y="441881"/>
          <a:chExt cx="1668770" cy="2150383"/>
        </a:xfrm>
      </xdr:grpSpPr>
      <xdr:grpSp>
        <xdr:nvGrpSpPr>
          <xdr:cNvPr id="160" name="그룹 159">
            <a:extLst>
              <a:ext uri="{FF2B5EF4-FFF2-40B4-BE49-F238E27FC236}">
                <a16:creationId xmlns:a16="http://schemas.microsoft.com/office/drawing/2014/main" id="{EFA300D3-3C6B-22B8-22BC-0275213497C7}"/>
              </a:ext>
            </a:extLst>
          </xdr:cNvPr>
          <xdr:cNvGrpSpPr/>
        </xdr:nvGrpSpPr>
        <xdr:grpSpPr>
          <a:xfrm>
            <a:off x="2050181" y="790991"/>
            <a:ext cx="1453586" cy="1801273"/>
            <a:chOff x="2326406" y="520481"/>
            <a:chExt cx="1455491" cy="1797463"/>
          </a:xfrm>
        </xdr:grpSpPr>
        <xdr:sp macro="" textlink="">
          <xdr:nvSpPr>
            <xdr:cNvPr id="162" name="타원 161">
              <a:extLst>
                <a:ext uri="{FF2B5EF4-FFF2-40B4-BE49-F238E27FC236}">
                  <a16:creationId xmlns:a16="http://schemas.microsoft.com/office/drawing/2014/main" id="{D37CC756-00D6-6575-02EE-76CFF2E1BF9F}"/>
                </a:ext>
              </a:extLst>
            </xdr:cNvPr>
            <xdr:cNvSpPr/>
          </xdr:nvSpPr>
          <xdr:spPr>
            <a:xfrm>
              <a:off x="2341245" y="520481"/>
              <a:ext cx="303828" cy="299833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</a:t>
              </a:r>
              <a:endParaRPr lang="ko-KR" altLang="en-US" sz="1400"/>
            </a:p>
          </xdr:txBody>
        </xdr:sp>
        <xdr:sp macro="" textlink="">
          <xdr:nvSpPr>
            <xdr:cNvPr id="163" name="타원 162">
              <a:extLst>
                <a:ext uri="{FF2B5EF4-FFF2-40B4-BE49-F238E27FC236}">
                  <a16:creationId xmlns:a16="http://schemas.microsoft.com/office/drawing/2014/main" id="{7D5A8012-95B0-E863-AC32-CA9B620F2111}"/>
                </a:ext>
              </a:extLst>
            </xdr:cNvPr>
            <xdr:cNvSpPr/>
          </xdr:nvSpPr>
          <xdr:spPr>
            <a:xfrm>
              <a:off x="2714546" y="1501555"/>
              <a:ext cx="306599" cy="301738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2</a:t>
              </a:r>
              <a:endParaRPr lang="ko-KR" altLang="en-US" sz="1400"/>
            </a:p>
          </xdr:txBody>
        </xdr:sp>
        <xdr:sp macro="" textlink="">
          <xdr:nvSpPr>
            <xdr:cNvPr id="164" name="타원 163">
              <a:extLst>
                <a:ext uri="{FF2B5EF4-FFF2-40B4-BE49-F238E27FC236}">
                  <a16:creationId xmlns:a16="http://schemas.microsoft.com/office/drawing/2014/main" id="{848AFA16-C5CF-EFB9-C47F-3207B7881652}"/>
                </a:ext>
              </a:extLst>
            </xdr:cNvPr>
            <xdr:cNvSpPr/>
          </xdr:nvSpPr>
          <xdr:spPr>
            <a:xfrm>
              <a:off x="2326406" y="1502147"/>
              <a:ext cx="311636" cy="311264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3</a:t>
              </a:r>
              <a:endParaRPr lang="ko-KR" altLang="en-US" sz="1400"/>
            </a:p>
          </xdr:txBody>
        </xdr:sp>
        <xdr:sp macro="" textlink="">
          <xdr:nvSpPr>
            <xdr:cNvPr id="165" name="타원 164">
              <a:extLst>
                <a:ext uri="{FF2B5EF4-FFF2-40B4-BE49-F238E27FC236}">
                  <a16:creationId xmlns:a16="http://schemas.microsoft.com/office/drawing/2014/main" id="{E7491036-5E98-662B-B8D3-995D72D57D6F}"/>
                </a:ext>
              </a:extLst>
            </xdr:cNvPr>
            <xdr:cNvSpPr/>
          </xdr:nvSpPr>
          <xdr:spPr>
            <a:xfrm>
              <a:off x="2327334" y="1036016"/>
              <a:ext cx="317353" cy="29115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4</a:t>
              </a:r>
              <a:endParaRPr lang="ko-KR" altLang="en-US" sz="1400"/>
            </a:p>
          </xdr:txBody>
        </xdr:sp>
        <xdr:sp macro="" textlink="">
          <xdr:nvSpPr>
            <xdr:cNvPr id="166" name="타원 165">
              <a:extLst>
                <a:ext uri="{FF2B5EF4-FFF2-40B4-BE49-F238E27FC236}">
                  <a16:creationId xmlns:a16="http://schemas.microsoft.com/office/drawing/2014/main" id="{2745CC07-431E-D79C-D254-641194D38705}"/>
                </a:ext>
              </a:extLst>
            </xdr:cNvPr>
            <xdr:cNvSpPr/>
          </xdr:nvSpPr>
          <xdr:spPr>
            <a:xfrm>
              <a:off x="3473393" y="1511626"/>
              <a:ext cx="308504" cy="29877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5</a:t>
              </a:r>
              <a:endParaRPr lang="ko-KR" altLang="en-US" sz="1400"/>
            </a:p>
          </xdr:txBody>
        </xdr:sp>
        <xdr:sp macro="" textlink="">
          <xdr:nvSpPr>
            <xdr:cNvPr id="167" name="타원 166">
              <a:extLst>
                <a:ext uri="{FF2B5EF4-FFF2-40B4-BE49-F238E27FC236}">
                  <a16:creationId xmlns:a16="http://schemas.microsoft.com/office/drawing/2014/main" id="{4895197A-D311-502D-CD7C-6558A34DC3A0}"/>
                </a:ext>
              </a:extLst>
            </xdr:cNvPr>
            <xdr:cNvSpPr/>
          </xdr:nvSpPr>
          <xdr:spPr>
            <a:xfrm>
              <a:off x="3095787" y="2017268"/>
              <a:ext cx="291618" cy="300676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6</a:t>
              </a:r>
              <a:endParaRPr lang="ko-KR" altLang="en-US" sz="1400"/>
            </a:p>
          </xdr:txBody>
        </xdr:sp>
        <xdr:sp macro="" textlink="">
          <xdr:nvSpPr>
            <xdr:cNvPr id="168" name="타원 167">
              <a:extLst>
                <a:ext uri="{FF2B5EF4-FFF2-40B4-BE49-F238E27FC236}">
                  <a16:creationId xmlns:a16="http://schemas.microsoft.com/office/drawing/2014/main" id="{4EB23434-63DB-5E2F-9128-27B3BB454B23}"/>
                </a:ext>
              </a:extLst>
            </xdr:cNvPr>
            <xdr:cNvSpPr/>
          </xdr:nvSpPr>
          <xdr:spPr>
            <a:xfrm>
              <a:off x="2721991" y="1038915"/>
              <a:ext cx="298412" cy="28734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7</a:t>
              </a:r>
              <a:endParaRPr lang="ko-KR" altLang="en-US" sz="1400"/>
            </a:p>
          </xdr:txBody>
        </xdr:sp>
        <xdr:sp macro="" textlink="">
          <xdr:nvSpPr>
            <xdr:cNvPr id="169" name="타원 168">
              <a:extLst>
                <a:ext uri="{FF2B5EF4-FFF2-40B4-BE49-F238E27FC236}">
                  <a16:creationId xmlns:a16="http://schemas.microsoft.com/office/drawing/2014/main" id="{7F96A72E-1BD9-8DD4-848E-4654DD81D24C}"/>
                </a:ext>
              </a:extLst>
            </xdr:cNvPr>
            <xdr:cNvSpPr/>
          </xdr:nvSpPr>
          <xdr:spPr>
            <a:xfrm>
              <a:off x="2721576" y="1999852"/>
              <a:ext cx="296507" cy="30639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8</a:t>
              </a:r>
              <a:endParaRPr lang="ko-KR" altLang="en-US" sz="1400"/>
            </a:p>
          </xdr:txBody>
        </xdr:sp>
        <xdr:sp macro="" textlink="">
          <xdr:nvSpPr>
            <xdr:cNvPr id="170" name="타원 169">
              <a:extLst>
                <a:ext uri="{FF2B5EF4-FFF2-40B4-BE49-F238E27FC236}">
                  <a16:creationId xmlns:a16="http://schemas.microsoft.com/office/drawing/2014/main" id="{7D3D612A-1785-2322-0867-07A301F9F9B5}"/>
                </a:ext>
              </a:extLst>
            </xdr:cNvPr>
            <xdr:cNvSpPr/>
          </xdr:nvSpPr>
          <xdr:spPr>
            <a:xfrm>
              <a:off x="3136450" y="1053885"/>
              <a:ext cx="288887" cy="287890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9</a:t>
              </a:r>
              <a:endParaRPr lang="ko-KR" altLang="en-US" sz="1400"/>
            </a:p>
          </xdr:txBody>
        </xdr:sp>
        <xdr:sp macro="" textlink="">
          <xdr:nvSpPr>
            <xdr:cNvPr id="171" name="타원 170">
              <a:extLst>
                <a:ext uri="{FF2B5EF4-FFF2-40B4-BE49-F238E27FC236}">
                  <a16:creationId xmlns:a16="http://schemas.microsoft.com/office/drawing/2014/main" id="{467D8616-4988-1D4E-E84B-EA8A8C3F6A76}"/>
                </a:ext>
              </a:extLst>
            </xdr:cNvPr>
            <xdr:cNvSpPr/>
          </xdr:nvSpPr>
          <xdr:spPr>
            <a:xfrm>
              <a:off x="2326681" y="2015942"/>
              <a:ext cx="311638" cy="289246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10</a:t>
              </a:r>
              <a:endParaRPr lang="ko-KR" altLang="en-US" sz="1400"/>
            </a:p>
          </xdr:txBody>
        </xdr:sp>
        <xdr:sp macro="" textlink="">
          <xdr:nvSpPr>
            <xdr:cNvPr id="172" name="타원 171">
              <a:extLst>
                <a:ext uri="{FF2B5EF4-FFF2-40B4-BE49-F238E27FC236}">
                  <a16:creationId xmlns:a16="http://schemas.microsoft.com/office/drawing/2014/main" id="{8832F17C-6034-7494-DB6A-5742D9F44CF7}"/>
                </a:ext>
              </a:extLst>
            </xdr:cNvPr>
            <xdr:cNvSpPr/>
          </xdr:nvSpPr>
          <xdr:spPr>
            <a:xfrm>
              <a:off x="3094653" y="1502297"/>
              <a:ext cx="292438" cy="296023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11</a:t>
              </a:r>
              <a:endParaRPr lang="ko-KR" altLang="en-US" sz="1400"/>
            </a:p>
          </xdr:txBody>
        </xdr:sp>
        <xdr:cxnSp macro="">
          <xdr:nvCxnSpPr>
            <xdr:cNvPr id="173" name="직선 연결선 172">
              <a:extLst>
                <a:ext uri="{FF2B5EF4-FFF2-40B4-BE49-F238E27FC236}">
                  <a16:creationId xmlns:a16="http://schemas.microsoft.com/office/drawing/2014/main" id="{4A9916B3-438A-0754-83FB-B52B8ED5B5DA}"/>
                </a:ext>
              </a:extLst>
            </xdr:cNvPr>
            <xdr:cNvCxnSpPr>
              <a:stCxn id="168" idx="4"/>
              <a:endCxn id="163" idx="0"/>
            </xdr:cNvCxnSpPr>
          </xdr:nvCxnSpPr>
          <xdr:spPr>
            <a:xfrm flipH="1">
              <a:off x="2873561" y="1320541"/>
              <a:ext cx="0" cy="184824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4" name="직선 연결선 173">
              <a:extLst>
                <a:ext uri="{FF2B5EF4-FFF2-40B4-BE49-F238E27FC236}">
                  <a16:creationId xmlns:a16="http://schemas.microsoft.com/office/drawing/2014/main" id="{8A001033-6537-FBAA-B211-6AF96DFE7AEF}"/>
                </a:ext>
              </a:extLst>
            </xdr:cNvPr>
            <xdr:cNvCxnSpPr>
              <a:stCxn id="165" idx="4"/>
              <a:endCxn id="164" idx="0"/>
            </xdr:cNvCxnSpPr>
          </xdr:nvCxnSpPr>
          <xdr:spPr>
            <a:xfrm flipH="1">
              <a:off x="2485082" y="1321452"/>
              <a:ext cx="2834" cy="184505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5" name="직선 연결선 174">
              <a:extLst>
                <a:ext uri="{FF2B5EF4-FFF2-40B4-BE49-F238E27FC236}">
                  <a16:creationId xmlns:a16="http://schemas.microsoft.com/office/drawing/2014/main" id="{E7E64607-931F-3816-A434-76A635DFEF05}"/>
                </a:ext>
              </a:extLst>
            </xdr:cNvPr>
            <xdr:cNvCxnSpPr>
              <a:stCxn id="162" idx="4"/>
              <a:endCxn id="165" idx="0"/>
            </xdr:cNvCxnSpPr>
          </xdr:nvCxnSpPr>
          <xdr:spPr>
            <a:xfrm flipH="1">
              <a:off x="2487916" y="816504"/>
              <a:ext cx="0" cy="223322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6" name="직선 연결선 175">
              <a:extLst>
                <a:ext uri="{FF2B5EF4-FFF2-40B4-BE49-F238E27FC236}">
                  <a16:creationId xmlns:a16="http://schemas.microsoft.com/office/drawing/2014/main" id="{8587B078-07AB-E4D6-FEB2-FC818FD4CC11}"/>
                </a:ext>
              </a:extLst>
            </xdr:cNvPr>
            <xdr:cNvCxnSpPr>
              <a:stCxn id="170" idx="5"/>
              <a:endCxn id="166" idx="0"/>
            </xdr:cNvCxnSpPr>
          </xdr:nvCxnSpPr>
          <xdr:spPr>
            <a:xfrm>
              <a:off x="3384099" y="1304214"/>
              <a:ext cx="237831" cy="201697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7" name="직선 연결선 176">
              <a:extLst>
                <a:ext uri="{FF2B5EF4-FFF2-40B4-BE49-F238E27FC236}">
                  <a16:creationId xmlns:a16="http://schemas.microsoft.com/office/drawing/2014/main" id="{565BCB3F-F261-BF65-2900-E3645F91E5DB}"/>
                </a:ext>
              </a:extLst>
            </xdr:cNvPr>
            <xdr:cNvCxnSpPr>
              <a:stCxn id="172" idx="4"/>
              <a:endCxn id="167" idx="0"/>
            </xdr:cNvCxnSpPr>
          </xdr:nvCxnSpPr>
          <xdr:spPr>
            <a:xfrm>
              <a:off x="3239920" y="1802130"/>
              <a:ext cx="724" cy="218948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8" name="직선 연결선 177">
              <a:extLst>
                <a:ext uri="{FF2B5EF4-FFF2-40B4-BE49-F238E27FC236}">
                  <a16:creationId xmlns:a16="http://schemas.microsoft.com/office/drawing/2014/main" id="{BD1AD2A6-B874-D2F4-3D15-D9B9CACA34F5}"/>
                </a:ext>
              </a:extLst>
            </xdr:cNvPr>
            <xdr:cNvCxnSpPr>
              <a:stCxn id="172" idx="4"/>
              <a:endCxn id="169" idx="0"/>
            </xdr:cNvCxnSpPr>
          </xdr:nvCxnSpPr>
          <xdr:spPr>
            <a:xfrm flipH="1">
              <a:off x="2869830" y="1798320"/>
              <a:ext cx="371042" cy="201532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161" name="직사각형 160">
            <a:extLst>
              <a:ext uri="{FF2B5EF4-FFF2-40B4-BE49-F238E27FC236}">
                <a16:creationId xmlns:a16="http://schemas.microsoft.com/office/drawing/2014/main" id="{ABAB6D74-97AA-0A2F-08F8-496050CB6F10}"/>
              </a:ext>
            </a:extLst>
          </xdr:cNvPr>
          <xdr:cNvSpPr/>
        </xdr:nvSpPr>
        <xdr:spPr>
          <a:xfrm>
            <a:off x="1935489" y="441881"/>
            <a:ext cx="1668770" cy="245107"/>
          </a:xfrm>
          <a:prstGeom prst="rect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1</a:t>
            </a:r>
            <a:r>
              <a:rPr lang="en-US" altLang="ko-KR" sz="1100" baseline="0"/>
              <a:t> 2 </a:t>
            </a:r>
            <a:r>
              <a:rPr lang="en-US" altLang="ko-KR" sz="1100"/>
              <a:t>7 =&gt; YES</a:t>
            </a:r>
            <a:endParaRPr lang="ko-KR" altLang="en-US" sz="1100"/>
          </a:p>
        </xdr:txBody>
      </xdr:sp>
    </xdr:grpSp>
    <xdr:clientData/>
  </xdr:twoCellAnchor>
  <xdr:twoCellAnchor>
    <xdr:from>
      <xdr:col>18</xdr:col>
      <xdr:colOff>1569</xdr:colOff>
      <xdr:row>2</xdr:row>
      <xdr:rowOff>71270</xdr:rowOff>
    </xdr:from>
    <xdr:to>
      <xdr:col>20</xdr:col>
      <xdr:colOff>321497</xdr:colOff>
      <xdr:row>12</xdr:row>
      <xdr:rowOff>37281</xdr:rowOff>
    </xdr:to>
    <xdr:grpSp>
      <xdr:nvGrpSpPr>
        <xdr:cNvPr id="179" name="그룹 178">
          <a:extLst>
            <a:ext uri="{FF2B5EF4-FFF2-40B4-BE49-F238E27FC236}">
              <a16:creationId xmlns:a16="http://schemas.microsoft.com/office/drawing/2014/main" id="{B92483BA-A2C0-43F1-B9AA-CCB744C47ACD}"/>
            </a:ext>
          </a:extLst>
        </xdr:cNvPr>
        <xdr:cNvGrpSpPr/>
      </xdr:nvGrpSpPr>
      <xdr:grpSpPr>
        <a:xfrm>
          <a:off x="11606829" y="520850"/>
          <a:ext cx="1661048" cy="2175811"/>
          <a:chOff x="1935489" y="441881"/>
          <a:chExt cx="1668770" cy="2150383"/>
        </a:xfrm>
      </xdr:grpSpPr>
      <xdr:grpSp>
        <xdr:nvGrpSpPr>
          <xdr:cNvPr id="180" name="그룹 179">
            <a:extLst>
              <a:ext uri="{FF2B5EF4-FFF2-40B4-BE49-F238E27FC236}">
                <a16:creationId xmlns:a16="http://schemas.microsoft.com/office/drawing/2014/main" id="{090D3AD0-74C0-BDE6-C0C0-450C7A9A28E8}"/>
              </a:ext>
            </a:extLst>
          </xdr:cNvPr>
          <xdr:cNvGrpSpPr/>
        </xdr:nvGrpSpPr>
        <xdr:grpSpPr>
          <a:xfrm>
            <a:off x="2050181" y="790991"/>
            <a:ext cx="1453586" cy="1801273"/>
            <a:chOff x="2326406" y="520481"/>
            <a:chExt cx="1455491" cy="1797463"/>
          </a:xfrm>
        </xdr:grpSpPr>
        <xdr:sp macro="" textlink="">
          <xdr:nvSpPr>
            <xdr:cNvPr id="182" name="타원 181">
              <a:extLst>
                <a:ext uri="{FF2B5EF4-FFF2-40B4-BE49-F238E27FC236}">
                  <a16:creationId xmlns:a16="http://schemas.microsoft.com/office/drawing/2014/main" id="{2A07AD4D-2ADD-912B-4CF9-B0946EB753AA}"/>
                </a:ext>
              </a:extLst>
            </xdr:cNvPr>
            <xdr:cNvSpPr/>
          </xdr:nvSpPr>
          <xdr:spPr>
            <a:xfrm>
              <a:off x="2341245" y="520481"/>
              <a:ext cx="303828" cy="299833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</a:t>
              </a:r>
              <a:endParaRPr lang="ko-KR" altLang="en-US" sz="1400"/>
            </a:p>
          </xdr:txBody>
        </xdr:sp>
        <xdr:sp macro="" textlink="">
          <xdr:nvSpPr>
            <xdr:cNvPr id="183" name="타원 182">
              <a:extLst>
                <a:ext uri="{FF2B5EF4-FFF2-40B4-BE49-F238E27FC236}">
                  <a16:creationId xmlns:a16="http://schemas.microsoft.com/office/drawing/2014/main" id="{682B9F25-CFCA-B957-BD24-BA1D37D66607}"/>
                </a:ext>
              </a:extLst>
            </xdr:cNvPr>
            <xdr:cNvSpPr/>
          </xdr:nvSpPr>
          <xdr:spPr>
            <a:xfrm>
              <a:off x="2714546" y="1501555"/>
              <a:ext cx="306599" cy="301738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2</a:t>
              </a:r>
              <a:endParaRPr lang="ko-KR" altLang="en-US" sz="1400"/>
            </a:p>
          </xdr:txBody>
        </xdr:sp>
        <xdr:sp macro="" textlink="">
          <xdr:nvSpPr>
            <xdr:cNvPr id="184" name="타원 183">
              <a:extLst>
                <a:ext uri="{FF2B5EF4-FFF2-40B4-BE49-F238E27FC236}">
                  <a16:creationId xmlns:a16="http://schemas.microsoft.com/office/drawing/2014/main" id="{453CBAB5-0E60-A601-E70F-6616B55F46FA}"/>
                </a:ext>
              </a:extLst>
            </xdr:cNvPr>
            <xdr:cNvSpPr/>
          </xdr:nvSpPr>
          <xdr:spPr>
            <a:xfrm>
              <a:off x="2326406" y="1502147"/>
              <a:ext cx="311636" cy="311264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3</a:t>
              </a:r>
              <a:endParaRPr lang="ko-KR" altLang="en-US" sz="1400"/>
            </a:p>
          </xdr:txBody>
        </xdr:sp>
        <xdr:sp macro="" textlink="">
          <xdr:nvSpPr>
            <xdr:cNvPr id="185" name="타원 184">
              <a:extLst>
                <a:ext uri="{FF2B5EF4-FFF2-40B4-BE49-F238E27FC236}">
                  <a16:creationId xmlns:a16="http://schemas.microsoft.com/office/drawing/2014/main" id="{11257DBF-6FFC-A973-E658-13D22BDD63FE}"/>
                </a:ext>
              </a:extLst>
            </xdr:cNvPr>
            <xdr:cNvSpPr/>
          </xdr:nvSpPr>
          <xdr:spPr>
            <a:xfrm>
              <a:off x="2327334" y="1036016"/>
              <a:ext cx="317353" cy="29115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4</a:t>
              </a:r>
              <a:endParaRPr lang="ko-KR" altLang="en-US" sz="1400"/>
            </a:p>
          </xdr:txBody>
        </xdr:sp>
        <xdr:sp macro="" textlink="">
          <xdr:nvSpPr>
            <xdr:cNvPr id="186" name="타원 185">
              <a:extLst>
                <a:ext uri="{FF2B5EF4-FFF2-40B4-BE49-F238E27FC236}">
                  <a16:creationId xmlns:a16="http://schemas.microsoft.com/office/drawing/2014/main" id="{4997D480-C165-5C4E-072A-5ED2AF2CC067}"/>
                </a:ext>
              </a:extLst>
            </xdr:cNvPr>
            <xdr:cNvSpPr/>
          </xdr:nvSpPr>
          <xdr:spPr>
            <a:xfrm>
              <a:off x="3473393" y="1511626"/>
              <a:ext cx="308504" cy="29877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5</a:t>
              </a:r>
              <a:endParaRPr lang="ko-KR" altLang="en-US" sz="1400"/>
            </a:p>
          </xdr:txBody>
        </xdr:sp>
        <xdr:sp macro="" textlink="">
          <xdr:nvSpPr>
            <xdr:cNvPr id="187" name="타원 186">
              <a:extLst>
                <a:ext uri="{FF2B5EF4-FFF2-40B4-BE49-F238E27FC236}">
                  <a16:creationId xmlns:a16="http://schemas.microsoft.com/office/drawing/2014/main" id="{AD7EB489-A8B7-0B71-5029-4B084F8765EF}"/>
                </a:ext>
              </a:extLst>
            </xdr:cNvPr>
            <xdr:cNvSpPr/>
          </xdr:nvSpPr>
          <xdr:spPr>
            <a:xfrm>
              <a:off x="3095787" y="2017268"/>
              <a:ext cx="291618" cy="300676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6</a:t>
              </a:r>
              <a:endParaRPr lang="ko-KR" altLang="en-US" sz="1400"/>
            </a:p>
          </xdr:txBody>
        </xdr:sp>
        <xdr:sp macro="" textlink="">
          <xdr:nvSpPr>
            <xdr:cNvPr id="188" name="타원 187">
              <a:extLst>
                <a:ext uri="{FF2B5EF4-FFF2-40B4-BE49-F238E27FC236}">
                  <a16:creationId xmlns:a16="http://schemas.microsoft.com/office/drawing/2014/main" id="{8425F7BE-61AD-C8A6-2EFE-EF4467DE16FE}"/>
                </a:ext>
              </a:extLst>
            </xdr:cNvPr>
            <xdr:cNvSpPr/>
          </xdr:nvSpPr>
          <xdr:spPr>
            <a:xfrm>
              <a:off x="2721991" y="1038915"/>
              <a:ext cx="298412" cy="28734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7</a:t>
              </a:r>
              <a:endParaRPr lang="ko-KR" altLang="en-US" sz="1400"/>
            </a:p>
          </xdr:txBody>
        </xdr:sp>
        <xdr:sp macro="" textlink="">
          <xdr:nvSpPr>
            <xdr:cNvPr id="189" name="타원 188">
              <a:extLst>
                <a:ext uri="{FF2B5EF4-FFF2-40B4-BE49-F238E27FC236}">
                  <a16:creationId xmlns:a16="http://schemas.microsoft.com/office/drawing/2014/main" id="{B782F051-FFC5-9A8C-62ED-10C4CFB83146}"/>
                </a:ext>
              </a:extLst>
            </xdr:cNvPr>
            <xdr:cNvSpPr/>
          </xdr:nvSpPr>
          <xdr:spPr>
            <a:xfrm>
              <a:off x="2721576" y="1999852"/>
              <a:ext cx="296507" cy="30639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8</a:t>
              </a:r>
              <a:endParaRPr lang="ko-KR" altLang="en-US" sz="1400"/>
            </a:p>
          </xdr:txBody>
        </xdr:sp>
        <xdr:sp macro="" textlink="">
          <xdr:nvSpPr>
            <xdr:cNvPr id="190" name="타원 189">
              <a:extLst>
                <a:ext uri="{FF2B5EF4-FFF2-40B4-BE49-F238E27FC236}">
                  <a16:creationId xmlns:a16="http://schemas.microsoft.com/office/drawing/2014/main" id="{9CEC3909-5402-6398-131B-0F8272E64BFD}"/>
                </a:ext>
              </a:extLst>
            </xdr:cNvPr>
            <xdr:cNvSpPr/>
          </xdr:nvSpPr>
          <xdr:spPr>
            <a:xfrm>
              <a:off x="3136450" y="1053885"/>
              <a:ext cx="288887" cy="287890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9</a:t>
              </a:r>
              <a:endParaRPr lang="ko-KR" altLang="en-US" sz="1400"/>
            </a:p>
          </xdr:txBody>
        </xdr:sp>
        <xdr:sp macro="" textlink="">
          <xdr:nvSpPr>
            <xdr:cNvPr id="191" name="타원 190">
              <a:extLst>
                <a:ext uri="{FF2B5EF4-FFF2-40B4-BE49-F238E27FC236}">
                  <a16:creationId xmlns:a16="http://schemas.microsoft.com/office/drawing/2014/main" id="{87C85419-4CE8-7C6E-6ACA-26E5DC1B464E}"/>
                </a:ext>
              </a:extLst>
            </xdr:cNvPr>
            <xdr:cNvSpPr/>
          </xdr:nvSpPr>
          <xdr:spPr>
            <a:xfrm>
              <a:off x="2326681" y="2015942"/>
              <a:ext cx="311638" cy="289246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10</a:t>
              </a:r>
              <a:endParaRPr lang="ko-KR" altLang="en-US" sz="1400"/>
            </a:p>
          </xdr:txBody>
        </xdr:sp>
        <xdr:sp macro="" textlink="">
          <xdr:nvSpPr>
            <xdr:cNvPr id="192" name="타원 191">
              <a:extLst>
                <a:ext uri="{FF2B5EF4-FFF2-40B4-BE49-F238E27FC236}">
                  <a16:creationId xmlns:a16="http://schemas.microsoft.com/office/drawing/2014/main" id="{F805B8D1-89B2-3C1A-C2A9-83B946808851}"/>
                </a:ext>
              </a:extLst>
            </xdr:cNvPr>
            <xdr:cNvSpPr/>
          </xdr:nvSpPr>
          <xdr:spPr>
            <a:xfrm>
              <a:off x="3094653" y="1502297"/>
              <a:ext cx="292438" cy="296023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11</a:t>
              </a:r>
              <a:endParaRPr lang="ko-KR" altLang="en-US" sz="1400"/>
            </a:p>
          </xdr:txBody>
        </xdr:sp>
        <xdr:cxnSp macro="">
          <xdr:nvCxnSpPr>
            <xdr:cNvPr id="193" name="직선 연결선 192">
              <a:extLst>
                <a:ext uri="{FF2B5EF4-FFF2-40B4-BE49-F238E27FC236}">
                  <a16:creationId xmlns:a16="http://schemas.microsoft.com/office/drawing/2014/main" id="{519098D0-5124-1820-E9A6-FB9F3F55CD8F}"/>
                </a:ext>
              </a:extLst>
            </xdr:cNvPr>
            <xdr:cNvCxnSpPr>
              <a:stCxn id="188" idx="4"/>
              <a:endCxn id="183" idx="0"/>
            </xdr:cNvCxnSpPr>
          </xdr:nvCxnSpPr>
          <xdr:spPr>
            <a:xfrm flipH="1">
              <a:off x="2873561" y="1320541"/>
              <a:ext cx="0" cy="184824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4" name="직선 연결선 193">
              <a:extLst>
                <a:ext uri="{FF2B5EF4-FFF2-40B4-BE49-F238E27FC236}">
                  <a16:creationId xmlns:a16="http://schemas.microsoft.com/office/drawing/2014/main" id="{C26A6607-3D69-A1CC-564B-92B1049F8143}"/>
                </a:ext>
              </a:extLst>
            </xdr:cNvPr>
            <xdr:cNvCxnSpPr>
              <a:stCxn id="185" idx="4"/>
              <a:endCxn id="184" idx="0"/>
            </xdr:cNvCxnSpPr>
          </xdr:nvCxnSpPr>
          <xdr:spPr>
            <a:xfrm flipH="1">
              <a:off x="2485082" y="1321452"/>
              <a:ext cx="2834" cy="184505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5" name="직선 연결선 194">
              <a:extLst>
                <a:ext uri="{FF2B5EF4-FFF2-40B4-BE49-F238E27FC236}">
                  <a16:creationId xmlns:a16="http://schemas.microsoft.com/office/drawing/2014/main" id="{08E2CFCB-4213-1500-91E3-AFE3E47942D9}"/>
                </a:ext>
              </a:extLst>
            </xdr:cNvPr>
            <xdr:cNvCxnSpPr>
              <a:stCxn id="182" idx="4"/>
              <a:endCxn id="185" idx="0"/>
            </xdr:cNvCxnSpPr>
          </xdr:nvCxnSpPr>
          <xdr:spPr>
            <a:xfrm flipH="1">
              <a:off x="2487916" y="816504"/>
              <a:ext cx="0" cy="223322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6" name="직선 연결선 195">
              <a:extLst>
                <a:ext uri="{FF2B5EF4-FFF2-40B4-BE49-F238E27FC236}">
                  <a16:creationId xmlns:a16="http://schemas.microsoft.com/office/drawing/2014/main" id="{89E677D4-5B7F-291D-933A-B77A33FEDA78}"/>
                </a:ext>
              </a:extLst>
            </xdr:cNvPr>
            <xdr:cNvCxnSpPr>
              <a:stCxn id="192" idx="4"/>
              <a:endCxn id="187" idx="0"/>
            </xdr:cNvCxnSpPr>
          </xdr:nvCxnSpPr>
          <xdr:spPr>
            <a:xfrm>
              <a:off x="3239920" y="1802130"/>
              <a:ext cx="724" cy="218948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7" name="직선 연결선 196">
              <a:extLst>
                <a:ext uri="{FF2B5EF4-FFF2-40B4-BE49-F238E27FC236}">
                  <a16:creationId xmlns:a16="http://schemas.microsoft.com/office/drawing/2014/main" id="{6B875482-8907-C6C6-B228-395B5FB83F43}"/>
                </a:ext>
              </a:extLst>
            </xdr:cNvPr>
            <xdr:cNvCxnSpPr>
              <a:stCxn id="192" idx="4"/>
              <a:endCxn id="189" idx="0"/>
            </xdr:cNvCxnSpPr>
          </xdr:nvCxnSpPr>
          <xdr:spPr>
            <a:xfrm flipH="1">
              <a:off x="2869830" y="1798320"/>
              <a:ext cx="371042" cy="201532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181" name="직사각형 180">
            <a:extLst>
              <a:ext uri="{FF2B5EF4-FFF2-40B4-BE49-F238E27FC236}">
                <a16:creationId xmlns:a16="http://schemas.microsoft.com/office/drawing/2014/main" id="{FF7760FA-25A2-3566-9471-581900B06388}"/>
              </a:ext>
            </a:extLst>
          </xdr:cNvPr>
          <xdr:cNvSpPr/>
        </xdr:nvSpPr>
        <xdr:spPr>
          <a:xfrm>
            <a:off x="1935489" y="441881"/>
            <a:ext cx="1668770" cy="245107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0 5</a:t>
            </a:r>
            <a:endParaRPr lang="ko-KR" altLang="en-US" sz="1100"/>
          </a:p>
        </xdr:txBody>
      </xdr:sp>
    </xdr:grpSp>
    <xdr:clientData/>
  </xdr:twoCellAnchor>
  <xdr:twoCellAnchor>
    <xdr:from>
      <xdr:col>18</xdr:col>
      <xdr:colOff>1569</xdr:colOff>
      <xdr:row>13</xdr:row>
      <xdr:rowOff>71270</xdr:rowOff>
    </xdr:from>
    <xdr:to>
      <xdr:col>20</xdr:col>
      <xdr:colOff>321497</xdr:colOff>
      <xdr:row>23</xdr:row>
      <xdr:rowOff>37281</xdr:rowOff>
    </xdr:to>
    <xdr:grpSp>
      <xdr:nvGrpSpPr>
        <xdr:cNvPr id="198" name="그룹 197">
          <a:extLst>
            <a:ext uri="{FF2B5EF4-FFF2-40B4-BE49-F238E27FC236}">
              <a16:creationId xmlns:a16="http://schemas.microsoft.com/office/drawing/2014/main" id="{5F49C022-7B3A-4451-BB2A-364A860E7EF1}"/>
            </a:ext>
          </a:extLst>
        </xdr:cNvPr>
        <xdr:cNvGrpSpPr/>
      </xdr:nvGrpSpPr>
      <xdr:grpSpPr>
        <a:xfrm>
          <a:off x="11606829" y="2951630"/>
          <a:ext cx="1661048" cy="2175811"/>
          <a:chOff x="1935489" y="441881"/>
          <a:chExt cx="1668770" cy="2150383"/>
        </a:xfrm>
      </xdr:grpSpPr>
      <xdr:grpSp>
        <xdr:nvGrpSpPr>
          <xdr:cNvPr id="199" name="그룹 198">
            <a:extLst>
              <a:ext uri="{FF2B5EF4-FFF2-40B4-BE49-F238E27FC236}">
                <a16:creationId xmlns:a16="http://schemas.microsoft.com/office/drawing/2014/main" id="{36D12633-3368-DFFE-43B4-B3A27F6C46E0}"/>
              </a:ext>
            </a:extLst>
          </xdr:cNvPr>
          <xdr:cNvGrpSpPr/>
        </xdr:nvGrpSpPr>
        <xdr:grpSpPr>
          <a:xfrm>
            <a:off x="2050181" y="790991"/>
            <a:ext cx="1453586" cy="1801273"/>
            <a:chOff x="2326406" y="520481"/>
            <a:chExt cx="1455491" cy="1797463"/>
          </a:xfrm>
        </xdr:grpSpPr>
        <xdr:sp macro="" textlink="">
          <xdr:nvSpPr>
            <xdr:cNvPr id="201" name="타원 200">
              <a:extLst>
                <a:ext uri="{FF2B5EF4-FFF2-40B4-BE49-F238E27FC236}">
                  <a16:creationId xmlns:a16="http://schemas.microsoft.com/office/drawing/2014/main" id="{7B72AFC0-46CC-825A-2BF7-F648087BD901}"/>
                </a:ext>
              </a:extLst>
            </xdr:cNvPr>
            <xdr:cNvSpPr/>
          </xdr:nvSpPr>
          <xdr:spPr>
            <a:xfrm>
              <a:off x="2341245" y="520481"/>
              <a:ext cx="303828" cy="299833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</a:t>
              </a:r>
              <a:endParaRPr lang="ko-KR" altLang="en-US" sz="1400"/>
            </a:p>
          </xdr:txBody>
        </xdr:sp>
        <xdr:sp macro="" textlink="">
          <xdr:nvSpPr>
            <xdr:cNvPr id="202" name="타원 201">
              <a:extLst>
                <a:ext uri="{FF2B5EF4-FFF2-40B4-BE49-F238E27FC236}">
                  <a16:creationId xmlns:a16="http://schemas.microsoft.com/office/drawing/2014/main" id="{1B51119B-12C0-85E9-9E8C-0BDE575D43BF}"/>
                </a:ext>
              </a:extLst>
            </xdr:cNvPr>
            <xdr:cNvSpPr/>
          </xdr:nvSpPr>
          <xdr:spPr>
            <a:xfrm>
              <a:off x="2714546" y="1501555"/>
              <a:ext cx="306599" cy="301738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2</a:t>
              </a:r>
              <a:endParaRPr lang="ko-KR" altLang="en-US" sz="1400"/>
            </a:p>
          </xdr:txBody>
        </xdr:sp>
        <xdr:sp macro="" textlink="">
          <xdr:nvSpPr>
            <xdr:cNvPr id="203" name="타원 202">
              <a:extLst>
                <a:ext uri="{FF2B5EF4-FFF2-40B4-BE49-F238E27FC236}">
                  <a16:creationId xmlns:a16="http://schemas.microsoft.com/office/drawing/2014/main" id="{997DC3EA-90BE-DE95-C475-9B865D153661}"/>
                </a:ext>
              </a:extLst>
            </xdr:cNvPr>
            <xdr:cNvSpPr/>
          </xdr:nvSpPr>
          <xdr:spPr>
            <a:xfrm>
              <a:off x="2326406" y="1502147"/>
              <a:ext cx="311636" cy="311264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3</a:t>
              </a:r>
              <a:endParaRPr lang="ko-KR" altLang="en-US" sz="1400"/>
            </a:p>
          </xdr:txBody>
        </xdr:sp>
        <xdr:sp macro="" textlink="">
          <xdr:nvSpPr>
            <xdr:cNvPr id="204" name="타원 203">
              <a:extLst>
                <a:ext uri="{FF2B5EF4-FFF2-40B4-BE49-F238E27FC236}">
                  <a16:creationId xmlns:a16="http://schemas.microsoft.com/office/drawing/2014/main" id="{464575F3-65FA-4FB1-F5C6-6570C92C8CFF}"/>
                </a:ext>
              </a:extLst>
            </xdr:cNvPr>
            <xdr:cNvSpPr/>
          </xdr:nvSpPr>
          <xdr:spPr>
            <a:xfrm>
              <a:off x="2327334" y="1036016"/>
              <a:ext cx="317353" cy="29115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4</a:t>
              </a:r>
              <a:endParaRPr lang="ko-KR" altLang="en-US" sz="1400"/>
            </a:p>
          </xdr:txBody>
        </xdr:sp>
        <xdr:sp macro="" textlink="">
          <xdr:nvSpPr>
            <xdr:cNvPr id="205" name="타원 204">
              <a:extLst>
                <a:ext uri="{FF2B5EF4-FFF2-40B4-BE49-F238E27FC236}">
                  <a16:creationId xmlns:a16="http://schemas.microsoft.com/office/drawing/2014/main" id="{411E4C67-BD6B-B386-25A7-8C45C17B919F}"/>
                </a:ext>
              </a:extLst>
            </xdr:cNvPr>
            <xdr:cNvSpPr/>
          </xdr:nvSpPr>
          <xdr:spPr>
            <a:xfrm>
              <a:off x="3473393" y="1511626"/>
              <a:ext cx="308504" cy="29877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5</a:t>
              </a:r>
              <a:endParaRPr lang="ko-KR" altLang="en-US" sz="1400"/>
            </a:p>
          </xdr:txBody>
        </xdr:sp>
        <xdr:sp macro="" textlink="">
          <xdr:nvSpPr>
            <xdr:cNvPr id="206" name="타원 205">
              <a:extLst>
                <a:ext uri="{FF2B5EF4-FFF2-40B4-BE49-F238E27FC236}">
                  <a16:creationId xmlns:a16="http://schemas.microsoft.com/office/drawing/2014/main" id="{AB0FF5EE-9368-AE36-7576-CEA686F94FBD}"/>
                </a:ext>
              </a:extLst>
            </xdr:cNvPr>
            <xdr:cNvSpPr/>
          </xdr:nvSpPr>
          <xdr:spPr>
            <a:xfrm>
              <a:off x="3095787" y="2017268"/>
              <a:ext cx="291618" cy="300676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6</a:t>
              </a:r>
              <a:endParaRPr lang="ko-KR" altLang="en-US" sz="1400"/>
            </a:p>
          </xdr:txBody>
        </xdr:sp>
        <xdr:sp macro="" textlink="">
          <xdr:nvSpPr>
            <xdr:cNvPr id="207" name="타원 206">
              <a:extLst>
                <a:ext uri="{FF2B5EF4-FFF2-40B4-BE49-F238E27FC236}">
                  <a16:creationId xmlns:a16="http://schemas.microsoft.com/office/drawing/2014/main" id="{A92C9FA9-0345-5B6F-DD25-DFED4E4902F8}"/>
                </a:ext>
              </a:extLst>
            </xdr:cNvPr>
            <xdr:cNvSpPr/>
          </xdr:nvSpPr>
          <xdr:spPr>
            <a:xfrm>
              <a:off x="2721991" y="1038915"/>
              <a:ext cx="298412" cy="28734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7</a:t>
              </a:r>
              <a:endParaRPr lang="ko-KR" altLang="en-US" sz="1400"/>
            </a:p>
          </xdr:txBody>
        </xdr:sp>
        <xdr:sp macro="" textlink="">
          <xdr:nvSpPr>
            <xdr:cNvPr id="208" name="타원 207">
              <a:extLst>
                <a:ext uri="{FF2B5EF4-FFF2-40B4-BE49-F238E27FC236}">
                  <a16:creationId xmlns:a16="http://schemas.microsoft.com/office/drawing/2014/main" id="{A56D6715-20C5-5393-FBAF-F8476A786A47}"/>
                </a:ext>
              </a:extLst>
            </xdr:cNvPr>
            <xdr:cNvSpPr/>
          </xdr:nvSpPr>
          <xdr:spPr>
            <a:xfrm>
              <a:off x="2721576" y="1999852"/>
              <a:ext cx="296507" cy="30639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8</a:t>
              </a:r>
              <a:endParaRPr lang="ko-KR" altLang="en-US" sz="1400"/>
            </a:p>
          </xdr:txBody>
        </xdr:sp>
        <xdr:sp macro="" textlink="">
          <xdr:nvSpPr>
            <xdr:cNvPr id="209" name="타원 208">
              <a:extLst>
                <a:ext uri="{FF2B5EF4-FFF2-40B4-BE49-F238E27FC236}">
                  <a16:creationId xmlns:a16="http://schemas.microsoft.com/office/drawing/2014/main" id="{4816B1D9-7565-7131-43DE-97F40AC1FF8C}"/>
                </a:ext>
              </a:extLst>
            </xdr:cNvPr>
            <xdr:cNvSpPr/>
          </xdr:nvSpPr>
          <xdr:spPr>
            <a:xfrm>
              <a:off x="3136450" y="1053885"/>
              <a:ext cx="288887" cy="287890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9</a:t>
              </a:r>
              <a:endParaRPr lang="ko-KR" altLang="en-US" sz="1400"/>
            </a:p>
          </xdr:txBody>
        </xdr:sp>
        <xdr:sp macro="" textlink="">
          <xdr:nvSpPr>
            <xdr:cNvPr id="210" name="타원 209">
              <a:extLst>
                <a:ext uri="{FF2B5EF4-FFF2-40B4-BE49-F238E27FC236}">
                  <a16:creationId xmlns:a16="http://schemas.microsoft.com/office/drawing/2014/main" id="{A39C6864-68A9-F7E6-1408-11D385A3B469}"/>
                </a:ext>
              </a:extLst>
            </xdr:cNvPr>
            <xdr:cNvSpPr/>
          </xdr:nvSpPr>
          <xdr:spPr>
            <a:xfrm>
              <a:off x="2326681" y="2015942"/>
              <a:ext cx="311638" cy="289246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10</a:t>
              </a:r>
              <a:endParaRPr lang="ko-KR" altLang="en-US" sz="1400"/>
            </a:p>
          </xdr:txBody>
        </xdr:sp>
        <xdr:sp macro="" textlink="">
          <xdr:nvSpPr>
            <xdr:cNvPr id="211" name="타원 210">
              <a:extLst>
                <a:ext uri="{FF2B5EF4-FFF2-40B4-BE49-F238E27FC236}">
                  <a16:creationId xmlns:a16="http://schemas.microsoft.com/office/drawing/2014/main" id="{F03C8AD6-085C-5389-779B-2C49795E7405}"/>
                </a:ext>
              </a:extLst>
            </xdr:cNvPr>
            <xdr:cNvSpPr/>
          </xdr:nvSpPr>
          <xdr:spPr>
            <a:xfrm>
              <a:off x="3094653" y="1502297"/>
              <a:ext cx="292438" cy="296023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11</a:t>
              </a:r>
              <a:endParaRPr lang="ko-KR" altLang="en-US" sz="1400"/>
            </a:p>
          </xdr:txBody>
        </xdr:sp>
        <xdr:cxnSp macro="">
          <xdr:nvCxnSpPr>
            <xdr:cNvPr id="212" name="직선 연결선 211">
              <a:extLst>
                <a:ext uri="{FF2B5EF4-FFF2-40B4-BE49-F238E27FC236}">
                  <a16:creationId xmlns:a16="http://schemas.microsoft.com/office/drawing/2014/main" id="{DF863ED3-3C52-426F-6022-8E6B73FD04D7}"/>
                </a:ext>
              </a:extLst>
            </xdr:cNvPr>
            <xdr:cNvCxnSpPr>
              <a:stCxn id="207" idx="4"/>
              <a:endCxn id="202" idx="0"/>
            </xdr:cNvCxnSpPr>
          </xdr:nvCxnSpPr>
          <xdr:spPr>
            <a:xfrm flipH="1">
              <a:off x="2873561" y="1320541"/>
              <a:ext cx="0" cy="184824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3" name="직선 연결선 212">
              <a:extLst>
                <a:ext uri="{FF2B5EF4-FFF2-40B4-BE49-F238E27FC236}">
                  <a16:creationId xmlns:a16="http://schemas.microsoft.com/office/drawing/2014/main" id="{2F77E320-A67E-058A-50C3-B11394C04E7D}"/>
                </a:ext>
              </a:extLst>
            </xdr:cNvPr>
            <xdr:cNvCxnSpPr>
              <a:stCxn id="204" idx="4"/>
              <a:endCxn id="203" idx="0"/>
            </xdr:cNvCxnSpPr>
          </xdr:nvCxnSpPr>
          <xdr:spPr>
            <a:xfrm flipH="1">
              <a:off x="2485082" y="1321452"/>
              <a:ext cx="2834" cy="184505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4" name="직선 연결선 213">
              <a:extLst>
                <a:ext uri="{FF2B5EF4-FFF2-40B4-BE49-F238E27FC236}">
                  <a16:creationId xmlns:a16="http://schemas.microsoft.com/office/drawing/2014/main" id="{484D9CC2-79DB-BEF0-C22F-812D527A4030}"/>
                </a:ext>
              </a:extLst>
            </xdr:cNvPr>
            <xdr:cNvCxnSpPr>
              <a:stCxn id="201" idx="4"/>
              <a:endCxn id="204" idx="0"/>
            </xdr:cNvCxnSpPr>
          </xdr:nvCxnSpPr>
          <xdr:spPr>
            <a:xfrm flipH="1">
              <a:off x="2487916" y="816504"/>
              <a:ext cx="0" cy="223322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5" name="직선 연결선 214">
              <a:extLst>
                <a:ext uri="{FF2B5EF4-FFF2-40B4-BE49-F238E27FC236}">
                  <a16:creationId xmlns:a16="http://schemas.microsoft.com/office/drawing/2014/main" id="{6969A121-99E7-EE12-75A2-F510605F694B}"/>
                </a:ext>
              </a:extLst>
            </xdr:cNvPr>
            <xdr:cNvCxnSpPr>
              <a:stCxn id="209" idx="5"/>
              <a:endCxn id="205" idx="0"/>
            </xdr:cNvCxnSpPr>
          </xdr:nvCxnSpPr>
          <xdr:spPr>
            <a:xfrm>
              <a:off x="3384099" y="1304214"/>
              <a:ext cx="237831" cy="201697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6" name="직선 연결선 215">
              <a:extLst>
                <a:ext uri="{FF2B5EF4-FFF2-40B4-BE49-F238E27FC236}">
                  <a16:creationId xmlns:a16="http://schemas.microsoft.com/office/drawing/2014/main" id="{F50179DE-B9F1-87C6-311B-CCDC15D096E9}"/>
                </a:ext>
              </a:extLst>
            </xdr:cNvPr>
            <xdr:cNvCxnSpPr>
              <a:stCxn id="211" idx="4"/>
              <a:endCxn id="206" idx="0"/>
            </xdr:cNvCxnSpPr>
          </xdr:nvCxnSpPr>
          <xdr:spPr>
            <a:xfrm>
              <a:off x="3239920" y="1802130"/>
              <a:ext cx="724" cy="218948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7" name="직선 연결선 216">
              <a:extLst>
                <a:ext uri="{FF2B5EF4-FFF2-40B4-BE49-F238E27FC236}">
                  <a16:creationId xmlns:a16="http://schemas.microsoft.com/office/drawing/2014/main" id="{D37638C6-D095-4DE3-A995-7439B27632B2}"/>
                </a:ext>
              </a:extLst>
            </xdr:cNvPr>
            <xdr:cNvCxnSpPr>
              <a:stCxn id="211" idx="4"/>
              <a:endCxn id="208" idx="0"/>
            </xdr:cNvCxnSpPr>
          </xdr:nvCxnSpPr>
          <xdr:spPr>
            <a:xfrm flipH="1">
              <a:off x="2869830" y="1798320"/>
              <a:ext cx="371042" cy="201532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200" name="직사각형 199">
            <a:extLst>
              <a:ext uri="{FF2B5EF4-FFF2-40B4-BE49-F238E27FC236}">
                <a16:creationId xmlns:a16="http://schemas.microsoft.com/office/drawing/2014/main" id="{AD29BE8F-8C3C-DCB7-D93B-960FA6AB19E5}"/>
              </a:ext>
            </a:extLst>
          </xdr:cNvPr>
          <xdr:cNvSpPr/>
        </xdr:nvSpPr>
        <xdr:spPr>
          <a:xfrm>
            <a:off x="1935489" y="441881"/>
            <a:ext cx="1668770" cy="245107"/>
          </a:xfrm>
          <a:prstGeom prst="rect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1</a:t>
            </a:r>
            <a:r>
              <a:rPr lang="en-US" altLang="ko-KR" sz="1100" baseline="0"/>
              <a:t> 1 10</a:t>
            </a:r>
            <a:r>
              <a:rPr lang="en-US" altLang="ko-KR" sz="1100"/>
              <a:t> =&gt; NO</a:t>
            </a:r>
            <a:endParaRPr lang="ko-KR" altLang="en-US" sz="1100"/>
          </a:p>
        </xdr:txBody>
      </xdr:sp>
    </xdr:grpSp>
    <xdr:clientData/>
  </xdr:twoCellAnchor>
  <xdr:twoCellAnchor>
    <xdr:from>
      <xdr:col>21</xdr:col>
      <xdr:colOff>16585</xdr:colOff>
      <xdr:row>2</xdr:row>
      <xdr:rowOff>67460</xdr:rowOff>
    </xdr:from>
    <xdr:to>
      <xdr:col>23</xdr:col>
      <xdr:colOff>334608</xdr:colOff>
      <xdr:row>12</xdr:row>
      <xdr:rowOff>37281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E6E9FC88-DC62-4C90-A94F-12D5811EE6F9}"/>
            </a:ext>
          </a:extLst>
        </xdr:cNvPr>
        <xdr:cNvGrpSpPr/>
      </xdr:nvGrpSpPr>
      <xdr:grpSpPr>
        <a:xfrm>
          <a:off x="13633525" y="517040"/>
          <a:ext cx="1659143" cy="2179621"/>
          <a:chOff x="1935489" y="441881"/>
          <a:chExt cx="1668770" cy="2150383"/>
        </a:xfrm>
      </xdr:grpSpPr>
      <xdr:grpSp>
        <xdr:nvGrpSpPr>
          <xdr:cNvPr id="219" name="그룹 218">
            <a:extLst>
              <a:ext uri="{FF2B5EF4-FFF2-40B4-BE49-F238E27FC236}">
                <a16:creationId xmlns:a16="http://schemas.microsoft.com/office/drawing/2014/main" id="{0620BE9C-D337-AE81-0918-7D2B42B46F02}"/>
              </a:ext>
            </a:extLst>
          </xdr:cNvPr>
          <xdr:cNvGrpSpPr/>
        </xdr:nvGrpSpPr>
        <xdr:grpSpPr>
          <a:xfrm>
            <a:off x="2050181" y="790991"/>
            <a:ext cx="1453586" cy="1801273"/>
            <a:chOff x="2326406" y="520481"/>
            <a:chExt cx="1455491" cy="1797463"/>
          </a:xfrm>
        </xdr:grpSpPr>
        <xdr:sp macro="" textlink="">
          <xdr:nvSpPr>
            <xdr:cNvPr id="221" name="타원 220">
              <a:extLst>
                <a:ext uri="{FF2B5EF4-FFF2-40B4-BE49-F238E27FC236}">
                  <a16:creationId xmlns:a16="http://schemas.microsoft.com/office/drawing/2014/main" id="{721C1F3C-5176-B079-1739-95044D358F87}"/>
                </a:ext>
              </a:extLst>
            </xdr:cNvPr>
            <xdr:cNvSpPr/>
          </xdr:nvSpPr>
          <xdr:spPr>
            <a:xfrm>
              <a:off x="2341245" y="520481"/>
              <a:ext cx="303828" cy="299833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</a:t>
              </a:r>
              <a:endParaRPr lang="ko-KR" altLang="en-US" sz="1400"/>
            </a:p>
          </xdr:txBody>
        </xdr:sp>
        <xdr:sp macro="" textlink="">
          <xdr:nvSpPr>
            <xdr:cNvPr id="222" name="타원 221">
              <a:extLst>
                <a:ext uri="{FF2B5EF4-FFF2-40B4-BE49-F238E27FC236}">
                  <a16:creationId xmlns:a16="http://schemas.microsoft.com/office/drawing/2014/main" id="{B2543482-D7F4-1FB2-61BF-50B17CF3C003}"/>
                </a:ext>
              </a:extLst>
            </xdr:cNvPr>
            <xdr:cNvSpPr/>
          </xdr:nvSpPr>
          <xdr:spPr>
            <a:xfrm>
              <a:off x="2714546" y="1501555"/>
              <a:ext cx="306599" cy="301738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2</a:t>
              </a:r>
              <a:endParaRPr lang="ko-KR" altLang="en-US" sz="1400"/>
            </a:p>
          </xdr:txBody>
        </xdr:sp>
        <xdr:sp macro="" textlink="">
          <xdr:nvSpPr>
            <xdr:cNvPr id="223" name="타원 222">
              <a:extLst>
                <a:ext uri="{FF2B5EF4-FFF2-40B4-BE49-F238E27FC236}">
                  <a16:creationId xmlns:a16="http://schemas.microsoft.com/office/drawing/2014/main" id="{236F94C9-E188-8059-556B-78453BA32B43}"/>
                </a:ext>
              </a:extLst>
            </xdr:cNvPr>
            <xdr:cNvSpPr/>
          </xdr:nvSpPr>
          <xdr:spPr>
            <a:xfrm>
              <a:off x="2326406" y="1502147"/>
              <a:ext cx="311636" cy="311264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3</a:t>
              </a:r>
              <a:endParaRPr lang="ko-KR" altLang="en-US" sz="1400"/>
            </a:p>
          </xdr:txBody>
        </xdr:sp>
        <xdr:sp macro="" textlink="">
          <xdr:nvSpPr>
            <xdr:cNvPr id="224" name="타원 223">
              <a:extLst>
                <a:ext uri="{FF2B5EF4-FFF2-40B4-BE49-F238E27FC236}">
                  <a16:creationId xmlns:a16="http://schemas.microsoft.com/office/drawing/2014/main" id="{5DF6E800-B8B0-D05C-B59B-60ECE2FC6D46}"/>
                </a:ext>
              </a:extLst>
            </xdr:cNvPr>
            <xdr:cNvSpPr/>
          </xdr:nvSpPr>
          <xdr:spPr>
            <a:xfrm>
              <a:off x="2327334" y="1036016"/>
              <a:ext cx="317353" cy="29115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4</a:t>
              </a:r>
              <a:endParaRPr lang="ko-KR" altLang="en-US" sz="1400"/>
            </a:p>
          </xdr:txBody>
        </xdr:sp>
        <xdr:sp macro="" textlink="">
          <xdr:nvSpPr>
            <xdr:cNvPr id="225" name="타원 224">
              <a:extLst>
                <a:ext uri="{FF2B5EF4-FFF2-40B4-BE49-F238E27FC236}">
                  <a16:creationId xmlns:a16="http://schemas.microsoft.com/office/drawing/2014/main" id="{C870067D-DEF7-FC77-95CF-68840CA2CE91}"/>
                </a:ext>
              </a:extLst>
            </xdr:cNvPr>
            <xdr:cNvSpPr/>
          </xdr:nvSpPr>
          <xdr:spPr>
            <a:xfrm>
              <a:off x="3473393" y="1511626"/>
              <a:ext cx="308504" cy="29877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5</a:t>
              </a:r>
              <a:endParaRPr lang="ko-KR" altLang="en-US" sz="1400"/>
            </a:p>
          </xdr:txBody>
        </xdr:sp>
        <xdr:sp macro="" textlink="">
          <xdr:nvSpPr>
            <xdr:cNvPr id="226" name="타원 225">
              <a:extLst>
                <a:ext uri="{FF2B5EF4-FFF2-40B4-BE49-F238E27FC236}">
                  <a16:creationId xmlns:a16="http://schemas.microsoft.com/office/drawing/2014/main" id="{F5586A95-CB94-FB8B-1652-5D9242ACB574}"/>
                </a:ext>
              </a:extLst>
            </xdr:cNvPr>
            <xdr:cNvSpPr/>
          </xdr:nvSpPr>
          <xdr:spPr>
            <a:xfrm>
              <a:off x="3095787" y="2017268"/>
              <a:ext cx="291618" cy="300676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6</a:t>
              </a:r>
              <a:endParaRPr lang="ko-KR" altLang="en-US" sz="1400"/>
            </a:p>
          </xdr:txBody>
        </xdr:sp>
        <xdr:sp macro="" textlink="">
          <xdr:nvSpPr>
            <xdr:cNvPr id="227" name="타원 226">
              <a:extLst>
                <a:ext uri="{FF2B5EF4-FFF2-40B4-BE49-F238E27FC236}">
                  <a16:creationId xmlns:a16="http://schemas.microsoft.com/office/drawing/2014/main" id="{94030759-AB46-FC49-572F-EC52BA9CF346}"/>
                </a:ext>
              </a:extLst>
            </xdr:cNvPr>
            <xdr:cNvSpPr/>
          </xdr:nvSpPr>
          <xdr:spPr>
            <a:xfrm>
              <a:off x="2721991" y="1038915"/>
              <a:ext cx="298412" cy="28734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7</a:t>
              </a:r>
              <a:endParaRPr lang="ko-KR" altLang="en-US" sz="1400"/>
            </a:p>
          </xdr:txBody>
        </xdr:sp>
        <xdr:sp macro="" textlink="">
          <xdr:nvSpPr>
            <xdr:cNvPr id="228" name="타원 227">
              <a:extLst>
                <a:ext uri="{FF2B5EF4-FFF2-40B4-BE49-F238E27FC236}">
                  <a16:creationId xmlns:a16="http://schemas.microsoft.com/office/drawing/2014/main" id="{39A6B0AC-4478-94DD-ECDD-93310A06C1FA}"/>
                </a:ext>
              </a:extLst>
            </xdr:cNvPr>
            <xdr:cNvSpPr/>
          </xdr:nvSpPr>
          <xdr:spPr>
            <a:xfrm>
              <a:off x="2721576" y="1999852"/>
              <a:ext cx="296507" cy="30639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8</a:t>
              </a:r>
              <a:endParaRPr lang="ko-KR" altLang="en-US" sz="1400"/>
            </a:p>
          </xdr:txBody>
        </xdr:sp>
        <xdr:sp macro="" textlink="">
          <xdr:nvSpPr>
            <xdr:cNvPr id="229" name="타원 228">
              <a:extLst>
                <a:ext uri="{FF2B5EF4-FFF2-40B4-BE49-F238E27FC236}">
                  <a16:creationId xmlns:a16="http://schemas.microsoft.com/office/drawing/2014/main" id="{21C24CFF-9C48-D27B-837D-E023EC8A4077}"/>
                </a:ext>
              </a:extLst>
            </xdr:cNvPr>
            <xdr:cNvSpPr/>
          </xdr:nvSpPr>
          <xdr:spPr>
            <a:xfrm>
              <a:off x="3136450" y="1053885"/>
              <a:ext cx="288887" cy="287890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9</a:t>
              </a:r>
              <a:endParaRPr lang="ko-KR" altLang="en-US" sz="1400"/>
            </a:p>
          </xdr:txBody>
        </xdr:sp>
        <xdr:sp macro="" textlink="">
          <xdr:nvSpPr>
            <xdr:cNvPr id="230" name="타원 229">
              <a:extLst>
                <a:ext uri="{FF2B5EF4-FFF2-40B4-BE49-F238E27FC236}">
                  <a16:creationId xmlns:a16="http://schemas.microsoft.com/office/drawing/2014/main" id="{19CBD8F8-02F3-DAAA-A575-859B4AA1630B}"/>
                </a:ext>
              </a:extLst>
            </xdr:cNvPr>
            <xdr:cNvSpPr/>
          </xdr:nvSpPr>
          <xdr:spPr>
            <a:xfrm>
              <a:off x="2326681" y="2015942"/>
              <a:ext cx="311638" cy="289246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10</a:t>
              </a:r>
              <a:endParaRPr lang="ko-KR" altLang="en-US" sz="1400"/>
            </a:p>
          </xdr:txBody>
        </xdr:sp>
        <xdr:sp macro="" textlink="">
          <xdr:nvSpPr>
            <xdr:cNvPr id="231" name="타원 230">
              <a:extLst>
                <a:ext uri="{FF2B5EF4-FFF2-40B4-BE49-F238E27FC236}">
                  <a16:creationId xmlns:a16="http://schemas.microsoft.com/office/drawing/2014/main" id="{CC352FF3-D65A-95FF-38E4-F81FDFC9C710}"/>
                </a:ext>
              </a:extLst>
            </xdr:cNvPr>
            <xdr:cNvSpPr/>
          </xdr:nvSpPr>
          <xdr:spPr>
            <a:xfrm>
              <a:off x="3094653" y="1502297"/>
              <a:ext cx="292438" cy="296023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11</a:t>
              </a:r>
              <a:endParaRPr lang="ko-KR" altLang="en-US" sz="1400"/>
            </a:p>
          </xdr:txBody>
        </xdr:sp>
        <xdr:cxnSp macro="">
          <xdr:nvCxnSpPr>
            <xdr:cNvPr id="232" name="직선 연결선 231">
              <a:extLst>
                <a:ext uri="{FF2B5EF4-FFF2-40B4-BE49-F238E27FC236}">
                  <a16:creationId xmlns:a16="http://schemas.microsoft.com/office/drawing/2014/main" id="{CA274700-6F72-4698-3BDB-3B508FDE8619}"/>
                </a:ext>
              </a:extLst>
            </xdr:cNvPr>
            <xdr:cNvCxnSpPr>
              <a:stCxn id="227" idx="4"/>
              <a:endCxn id="222" idx="0"/>
            </xdr:cNvCxnSpPr>
          </xdr:nvCxnSpPr>
          <xdr:spPr>
            <a:xfrm flipH="1">
              <a:off x="2873561" y="1320541"/>
              <a:ext cx="0" cy="184824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3" name="직선 연결선 232">
              <a:extLst>
                <a:ext uri="{FF2B5EF4-FFF2-40B4-BE49-F238E27FC236}">
                  <a16:creationId xmlns:a16="http://schemas.microsoft.com/office/drawing/2014/main" id="{5A351D82-1704-8E83-9C7D-944E3C6FD937}"/>
                </a:ext>
              </a:extLst>
            </xdr:cNvPr>
            <xdr:cNvCxnSpPr>
              <a:stCxn id="224" idx="4"/>
              <a:endCxn id="223" idx="0"/>
            </xdr:cNvCxnSpPr>
          </xdr:nvCxnSpPr>
          <xdr:spPr>
            <a:xfrm flipH="1">
              <a:off x="2485082" y="1321452"/>
              <a:ext cx="2834" cy="184505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4" name="직선 연결선 233">
              <a:extLst>
                <a:ext uri="{FF2B5EF4-FFF2-40B4-BE49-F238E27FC236}">
                  <a16:creationId xmlns:a16="http://schemas.microsoft.com/office/drawing/2014/main" id="{EE5B2EAA-F4B6-7047-0957-8D41719DEAB1}"/>
                </a:ext>
              </a:extLst>
            </xdr:cNvPr>
            <xdr:cNvCxnSpPr>
              <a:stCxn id="221" idx="4"/>
              <a:endCxn id="224" idx="0"/>
            </xdr:cNvCxnSpPr>
          </xdr:nvCxnSpPr>
          <xdr:spPr>
            <a:xfrm flipH="1">
              <a:off x="2487916" y="816504"/>
              <a:ext cx="0" cy="223322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5" name="직선 연결선 234">
              <a:extLst>
                <a:ext uri="{FF2B5EF4-FFF2-40B4-BE49-F238E27FC236}">
                  <a16:creationId xmlns:a16="http://schemas.microsoft.com/office/drawing/2014/main" id="{1625CB24-05F7-3FD8-EA0F-1711A9B290CD}"/>
                </a:ext>
              </a:extLst>
            </xdr:cNvPr>
            <xdr:cNvCxnSpPr>
              <a:stCxn id="231" idx="4"/>
              <a:endCxn id="226" idx="0"/>
            </xdr:cNvCxnSpPr>
          </xdr:nvCxnSpPr>
          <xdr:spPr>
            <a:xfrm>
              <a:off x="3239920" y="1802130"/>
              <a:ext cx="724" cy="218948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445EEB54-2E24-A2C9-4A44-4CDD108B414C}"/>
              </a:ext>
            </a:extLst>
          </xdr:cNvPr>
          <xdr:cNvSpPr/>
        </xdr:nvSpPr>
        <xdr:spPr>
          <a:xfrm>
            <a:off x="1935489" y="441881"/>
            <a:ext cx="1668770" cy="245107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0</a:t>
            </a:r>
            <a:r>
              <a:rPr lang="en-US" altLang="ko-KR" sz="1100" baseline="0"/>
              <a:t> 8</a:t>
            </a:r>
            <a:endParaRPr lang="ko-KR" altLang="en-US" sz="1100"/>
          </a:p>
        </xdr:txBody>
      </xdr:sp>
    </xdr:grpSp>
    <xdr:clientData/>
  </xdr:twoCellAnchor>
  <xdr:twoCellAnchor>
    <xdr:from>
      <xdr:col>24</xdr:col>
      <xdr:colOff>16585</xdr:colOff>
      <xdr:row>2</xdr:row>
      <xdr:rowOff>63650</xdr:rowOff>
    </xdr:from>
    <xdr:to>
      <xdr:col>26</xdr:col>
      <xdr:colOff>330799</xdr:colOff>
      <xdr:row>12</xdr:row>
      <xdr:rowOff>37281</xdr:rowOff>
    </xdr:to>
    <xdr:grpSp>
      <xdr:nvGrpSpPr>
        <xdr:cNvPr id="236" name="그룹 235">
          <a:extLst>
            <a:ext uri="{FF2B5EF4-FFF2-40B4-BE49-F238E27FC236}">
              <a16:creationId xmlns:a16="http://schemas.microsoft.com/office/drawing/2014/main" id="{4EA1AC8A-2785-4A7A-8BC4-D07505A70816}"/>
            </a:ext>
          </a:extLst>
        </xdr:cNvPr>
        <xdr:cNvGrpSpPr/>
      </xdr:nvGrpSpPr>
      <xdr:grpSpPr>
        <a:xfrm>
          <a:off x="15645205" y="513230"/>
          <a:ext cx="1655334" cy="2183431"/>
          <a:chOff x="1935489" y="441881"/>
          <a:chExt cx="1668770" cy="2150383"/>
        </a:xfrm>
      </xdr:grpSpPr>
      <xdr:grpSp>
        <xdr:nvGrpSpPr>
          <xdr:cNvPr id="237" name="그룹 236">
            <a:extLst>
              <a:ext uri="{FF2B5EF4-FFF2-40B4-BE49-F238E27FC236}">
                <a16:creationId xmlns:a16="http://schemas.microsoft.com/office/drawing/2014/main" id="{2EAF6E7A-AF12-98E5-450C-05351807111D}"/>
              </a:ext>
            </a:extLst>
          </xdr:cNvPr>
          <xdr:cNvGrpSpPr/>
        </xdr:nvGrpSpPr>
        <xdr:grpSpPr>
          <a:xfrm>
            <a:off x="2050181" y="790991"/>
            <a:ext cx="1453586" cy="1801273"/>
            <a:chOff x="2326406" y="520481"/>
            <a:chExt cx="1455491" cy="1797463"/>
          </a:xfrm>
        </xdr:grpSpPr>
        <xdr:sp macro="" textlink="">
          <xdr:nvSpPr>
            <xdr:cNvPr id="239" name="타원 238">
              <a:extLst>
                <a:ext uri="{FF2B5EF4-FFF2-40B4-BE49-F238E27FC236}">
                  <a16:creationId xmlns:a16="http://schemas.microsoft.com/office/drawing/2014/main" id="{3898838B-9AA9-32FB-52EE-06F62ED2141D}"/>
                </a:ext>
              </a:extLst>
            </xdr:cNvPr>
            <xdr:cNvSpPr/>
          </xdr:nvSpPr>
          <xdr:spPr>
            <a:xfrm>
              <a:off x="2341245" y="520481"/>
              <a:ext cx="303828" cy="299833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</a:t>
              </a:r>
              <a:endParaRPr lang="ko-KR" altLang="en-US" sz="1400"/>
            </a:p>
          </xdr:txBody>
        </xdr:sp>
        <xdr:sp macro="" textlink="">
          <xdr:nvSpPr>
            <xdr:cNvPr id="240" name="타원 239">
              <a:extLst>
                <a:ext uri="{FF2B5EF4-FFF2-40B4-BE49-F238E27FC236}">
                  <a16:creationId xmlns:a16="http://schemas.microsoft.com/office/drawing/2014/main" id="{631344C3-DAF2-E0A8-6AA4-B75E7977F5F7}"/>
                </a:ext>
              </a:extLst>
            </xdr:cNvPr>
            <xdr:cNvSpPr/>
          </xdr:nvSpPr>
          <xdr:spPr>
            <a:xfrm>
              <a:off x="2714546" y="1501555"/>
              <a:ext cx="306599" cy="301738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2</a:t>
              </a:r>
              <a:endParaRPr lang="ko-KR" altLang="en-US" sz="1400"/>
            </a:p>
          </xdr:txBody>
        </xdr:sp>
        <xdr:sp macro="" textlink="">
          <xdr:nvSpPr>
            <xdr:cNvPr id="241" name="타원 240">
              <a:extLst>
                <a:ext uri="{FF2B5EF4-FFF2-40B4-BE49-F238E27FC236}">
                  <a16:creationId xmlns:a16="http://schemas.microsoft.com/office/drawing/2014/main" id="{947BE591-76C0-4B91-44CE-184439863E74}"/>
                </a:ext>
              </a:extLst>
            </xdr:cNvPr>
            <xdr:cNvSpPr/>
          </xdr:nvSpPr>
          <xdr:spPr>
            <a:xfrm>
              <a:off x="2326406" y="1502147"/>
              <a:ext cx="311636" cy="311264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3</a:t>
              </a:r>
              <a:endParaRPr lang="ko-KR" altLang="en-US" sz="1400"/>
            </a:p>
          </xdr:txBody>
        </xdr:sp>
        <xdr:sp macro="" textlink="">
          <xdr:nvSpPr>
            <xdr:cNvPr id="242" name="타원 241">
              <a:extLst>
                <a:ext uri="{FF2B5EF4-FFF2-40B4-BE49-F238E27FC236}">
                  <a16:creationId xmlns:a16="http://schemas.microsoft.com/office/drawing/2014/main" id="{E2DB9272-591C-F9CA-2888-EF3E036583C1}"/>
                </a:ext>
              </a:extLst>
            </xdr:cNvPr>
            <xdr:cNvSpPr/>
          </xdr:nvSpPr>
          <xdr:spPr>
            <a:xfrm>
              <a:off x="2327334" y="1036016"/>
              <a:ext cx="317353" cy="29115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4</a:t>
              </a:r>
              <a:endParaRPr lang="ko-KR" altLang="en-US" sz="1400"/>
            </a:p>
          </xdr:txBody>
        </xdr:sp>
        <xdr:sp macro="" textlink="">
          <xdr:nvSpPr>
            <xdr:cNvPr id="243" name="타원 242">
              <a:extLst>
                <a:ext uri="{FF2B5EF4-FFF2-40B4-BE49-F238E27FC236}">
                  <a16:creationId xmlns:a16="http://schemas.microsoft.com/office/drawing/2014/main" id="{3640DD39-6440-69ED-7083-DF925AE24E24}"/>
                </a:ext>
              </a:extLst>
            </xdr:cNvPr>
            <xdr:cNvSpPr/>
          </xdr:nvSpPr>
          <xdr:spPr>
            <a:xfrm>
              <a:off x="3473393" y="1511626"/>
              <a:ext cx="308504" cy="29877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5</a:t>
              </a:r>
              <a:endParaRPr lang="ko-KR" altLang="en-US" sz="1400"/>
            </a:p>
          </xdr:txBody>
        </xdr:sp>
        <xdr:sp macro="" textlink="">
          <xdr:nvSpPr>
            <xdr:cNvPr id="244" name="타원 243">
              <a:extLst>
                <a:ext uri="{FF2B5EF4-FFF2-40B4-BE49-F238E27FC236}">
                  <a16:creationId xmlns:a16="http://schemas.microsoft.com/office/drawing/2014/main" id="{D1EC98D0-5806-AEF9-7549-BB1D1CA70078}"/>
                </a:ext>
              </a:extLst>
            </xdr:cNvPr>
            <xdr:cNvSpPr/>
          </xdr:nvSpPr>
          <xdr:spPr>
            <a:xfrm>
              <a:off x="3095787" y="2017268"/>
              <a:ext cx="291618" cy="300676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6</a:t>
              </a:r>
              <a:endParaRPr lang="ko-KR" altLang="en-US" sz="1400"/>
            </a:p>
          </xdr:txBody>
        </xdr:sp>
        <xdr:sp macro="" textlink="">
          <xdr:nvSpPr>
            <xdr:cNvPr id="245" name="타원 244">
              <a:extLst>
                <a:ext uri="{FF2B5EF4-FFF2-40B4-BE49-F238E27FC236}">
                  <a16:creationId xmlns:a16="http://schemas.microsoft.com/office/drawing/2014/main" id="{A04A5B08-BD03-1647-A4C6-9F00DDB04E81}"/>
                </a:ext>
              </a:extLst>
            </xdr:cNvPr>
            <xdr:cNvSpPr/>
          </xdr:nvSpPr>
          <xdr:spPr>
            <a:xfrm>
              <a:off x="2721991" y="1038915"/>
              <a:ext cx="298412" cy="28734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7</a:t>
              </a:r>
              <a:endParaRPr lang="ko-KR" altLang="en-US" sz="1400"/>
            </a:p>
          </xdr:txBody>
        </xdr:sp>
        <xdr:sp macro="" textlink="">
          <xdr:nvSpPr>
            <xdr:cNvPr id="246" name="타원 245">
              <a:extLst>
                <a:ext uri="{FF2B5EF4-FFF2-40B4-BE49-F238E27FC236}">
                  <a16:creationId xmlns:a16="http://schemas.microsoft.com/office/drawing/2014/main" id="{18FB18BB-8F8B-DDA2-B04B-6932FEF724F7}"/>
                </a:ext>
              </a:extLst>
            </xdr:cNvPr>
            <xdr:cNvSpPr/>
          </xdr:nvSpPr>
          <xdr:spPr>
            <a:xfrm>
              <a:off x="2721576" y="1999852"/>
              <a:ext cx="296507" cy="30639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8</a:t>
              </a:r>
              <a:endParaRPr lang="ko-KR" altLang="en-US" sz="1400"/>
            </a:p>
          </xdr:txBody>
        </xdr:sp>
        <xdr:sp macro="" textlink="">
          <xdr:nvSpPr>
            <xdr:cNvPr id="247" name="타원 246">
              <a:extLst>
                <a:ext uri="{FF2B5EF4-FFF2-40B4-BE49-F238E27FC236}">
                  <a16:creationId xmlns:a16="http://schemas.microsoft.com/office/drawing/2014/main" id="{E43235BD-C993-9A52-8245-BF33CCEA2B0B}"/>
                </a:ext>
              </a:extLst>
            </xdr:cNvPr>
            <xdr:cNvSpPr/>
          </xdr:nvSpPr>
          <xdr:spPr>
            <a:xfrm>
              <a:off x="3136450" y="1053885"/>
              <a:ext cx="288887" cy="287890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9</a:t>
              </a:r>
              <a:endParaRPr lang="ko-KR" altLang="en-US" sz="1400"/>
            </a:p>
          </xdr:txBody>
        </xdr:sp>
        <xdr:sp macro="" textlink="">
          <xdr:nvSpPr>
            <xdr:cNvPr id="248" name="타원 247">
              <a:extLst>
                <a:ext uri="{FF2B5EF4-FFF2-40B4-BE49-F238E27FC236}">
                  <a16:creationId xmlns:a16="http://schemas.microsoft.com/office/drawing/2014/main" id="{FAF33CAA-F2A2-55A4-0C38-51096E0F726E}"/>
                </a:ext>
              </a:extLst>
            </xdr:cNvPr>
            <xdr:cNvSpPr/>
          </xdr:nvSpPr>
          <xdr:spPr>
            <a:xfrm>
              <a:off x="2326681" y="2015942"/>
              <a:ext cx="311638" cy="289246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10</a:t>
              </a:r>
              <a:endParaRPr lang="ko-KR" altLang="en-US" sz="1400"/>
            </a:p>
          </xdr:txBody>
        </xdr:sp>
        <xdr:sp macro="" textlink="">
          <xdr:nvSpPr>
            <xdr:cNvPr id="249" name="타원 248">
              <a:extLst>
                <a:ext uri="{FF2B5EF4-FFF2-40B4-BE49-F238E27FC236}">
                  <a16:creationId xmlns:a16="http://schemas.microsoft.com/office/drawing/2014/main" id="{12AC14BA-770F-4A7E-4208-5FC8CD82D91E}"/>
                </a:ext>
              </a:extLst>
            </xdr:cNvPr>
            <xdr:cNvSpPr/>
          </xdr:nvSpPr>
          <xdr:spPr>
            <a:xfrm>
              <a:off x="3094653" y="1502297"/>
              <a:ext cx="292438" cy="296023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11</a:t>
              </a:r>
              <a:endParaRPr lang="ko-KR" altLang="en-US" sz="1400"/>
            </a:p>
          </xdr:txBody>
        </xdr:sp>
        <xdr:cxnSp macro="">
          <xdr:nvCxnSpPr>
            <xdr:cNvPr id="250" name="직선 연결선 249">
              <a:extLst>
                <a:ext uri="{FF2B5EF4-FFF2-40B4-BE49-F238E27FC236}">
                  <a16:creationId xmlns:a16="http://schemas.microsoft.com/office/drawing/2014/main" id="{8333CF06-67FE-A6A6-E1F5-F86A2C1CEF60}"/>
                </a:ext>
              </a:extLst>
            </xdr:cNvPr>
            <xdr:cNvCxnSpPr>
              <a:stCxn id="245" idx="4"/>
              <a:endCxn id="240" idx="0"/>
            </xdr:cNvCxnSpPr>
          </xdr:nvCxnSpPr>
          <xdr:spPr>
            <a:xfrm flipH="1">
              <a:off x="2873561" y="1320541"/>
              <a:ext cx="0" cy="184824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" name="직선 연결선 250">
              <a:extLst>
                <a:ext uri="{FF2B5EF4-FFF2-40B4-BE49-F238E27FC236}">
                  <a16:creationId xmlns:a16="http://schemas.microsoft.com/office/drawing/2014/main" id="{FC62154D-C3F4-8B83-2961-D9278C069512}"/>
                </a:ext>
              </a:extLst>
            </xdr:cNvPr>
            <xdr:cNvCxnSpPr>
              <a:stCxn id="242" idx="4"/>
              <a:endCxn id="241" idx="0"/>
            </xdr:cNvCxnSpPr>
          </xdr:nvCxnSpPr>
          <xdr:spPr>
            <a:xfrm flipH="1">
              <a:off x="2485082" y="1321452"/>
              <a:ext cx="2834" cy="184505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" name="직선 연결선 251">
              <a:extLst>
                <a:ext uri="{FF2B5EF4-FFF2-40B4-BE49-F238E27FC236}">
                  <a16:creationId xmlns:a16="http://schemas.microsoft.com/office/drawing/2014/main" id="{42F99B0B-7A43-844F-C826-12253429E969}"/>
                </a:ext>
              </a:extLst>
            </xdr:cNvPr>
            <xdr:cNvCxnSpPr>
              <a:stCxn id="239" idx="4"/>
              <a:endCxn id="242" idx="0"/>
            </xdr:cNvCxnSpPr>
          </xdr:nvCxnSpPr>
          <xdr:spPr>
            <a:xfrm flipH="1">
              <a:off x="2487916" y="816504"/>
              <a:ext cx="0" cy="223322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238" name="직사각형 237">
            <a:extLst>
              <a:ext uri="{FF2B5EF4-FFF2-40B4-BE49-F238E27FC236}">
                <a16:creationId xmlns:a16="http://schemas.microsoft.com/office/drawing/2014/main" id="{63C983ED-D5DF-BBF6-1FA5-84F027EED183}"/>
              </a:ext>
            </a:extLst>
          </xdr:cNvPr>
          <xdr:cNvSpPr/>
        </xdr:nvSpPr>
        <xdr:spPr>
          <a:xfrm>
            <a:off x="1935489" y="441881"/>
            <a:ext cx="1668770" cy="245107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0</a:t>
            </a:r>
            <a:r>
              <a:rPr lang="en-US" altLang="ko-KR" sz="1100" baseline="0"/>
              <a:t> 6</a:t>
            </a:r>
            <a:endParaRPr lang="ko-KR" altLang="en-US" sz="1100"/>
          </a:p>
        </xdr:txBody>
      </xdr:sp>
    </xdr:grpSp>
    <xdr:clientData/>
  </xdr:twoCellAnchor>
  <xdr:twoCellAnchor>
    <xdr:from>
      <xdr:col>27</xdr:col>
      <xdr:colOff>8693</xdr:colOff>
      <xdr:row>2</xdr:row>
      <xdr:rowOff>56030</xdr:rowOff>
    </xdr:from>
    <xdr:to>
      <xdr:col>29</xdr:col>
      <xdr:colOff>315287</xdr:colOff>
      <xdr:row>12</xdr:row>
      <xdr:rowOff>37281</xdr:rowOff>
    </xdr:to>
    <xdr:grpSp>
      <xdr:nvGrpSpPr>
        <xdr:cNvPr id="253" name="그룹 252">
          <a:extLst>
            <a:ext uri="{FF2B5EF4-FFF2-40B4-BE49-F238E27FC236}">
              <a16:creationId xmlns:a16="http://schemas.microsoft.com/office/drawing/2014/main" id="{B24314D8-E44C-4C5F-8C43-5F78EFD50617}"/>
            </a:ext>
          </a:extLst>
        </xdr:cNvPr>
        <xdr:cNvGrpSpPr/>
      </xdr:nvGrpSpPr>
      <xdr:grpSpPr>
        <a:xfrm>
          <a:off x="17648993" y="505610"/>
          <a:ext cx="1647714" cy="2191051"/>
          <a:chOff x="1935489" y="441881"/>
          <a:chExt cx="1668770" cy="2150383"/>
        </a:xfrm>
      </xdr:grpSpPr>
      <xdr:grpSp>
        <xdr:nvGrpSpPr>
          <xdr:cNvPr id="254" name="그룹 253">
            <a:extLst>
              <a:ext uri="{FF2B5EF4-FFF2-40B4-BE49-F238E27FC236}">
                <a16:creationId xmlns:a16="http://schemas.microsoft.com/office/drawing/2014/main" id="{CDE2CB84-E4AF-C161-80E1-8EB67E206DE4}"/>
              </a:ext>
            </a:extLst>
          </xdr:cNvPr>
          <xdr:cNvGrpSpPr/>
        </xdr:nvGrpSpPr>
        <xdr:grpSpPr>
          <a:xfrm>
            <a:off x="2050181" y="790991"/>
            <a:ext cx="1453586" cy="1801273"/>
            <a:chOff x="2326406" y="520481"/>
            <a:chExt cx="1455491" cy="1797463"/>
          </a:xfrm>
        </xdr:grpSpPr>
        <xdr:sp macro="" textlink="">
          <xdr:nvSpPr>
            <xdr:cNvPr id="256" name="타원 255">
              <a:extLst>
                <a:ext uri="{FF2B5EF4-FFF2-40B4-BE49-F238E27FC236}">
                  <a16:creationId xmlns:a16="http://schemas.microsoft.com/office/drawing/2014/main" id="{5B3E830E-A409-382A-28F1-3E360F0B3E2D}"/>
                </a:ext>
              </a:extLst>
            </xdr:cNvPr>
            <xdr:cNvSpPr/>
          </xdr:nvSpPr>
          <xdr:spPr>
            <a:xfrm>
              <a:off x="2341245" y="520481"/>
              <a:ext cx="303828" cy="299833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</a:t>
              </a:r>
              <a:endParaRPr lang="ko-KR" altLang="en-US" sz="1400"/>
            </a:p>
          </xdr:txBody>
        </xdr:sp>
        <xdr:sp macro="" textlink="">
          <xdr:nvSpPr>
            <xdr:cNvPr id="257" name="타원 256">
              <a:extLst>
                <a:ext uri="{FF2B5EF4-FFF2-40B4-BE49-F238E27FC236}">
                  <a16:creationId xmlns:a16="http://schemas.microsoft.com/office/drawing/2014/main" id="{1612C0E9-0E40-D527-4C8E-DF4012B8B190}"/>
                </a:ext>
              </a:extLst>
            </xdr:cNvPr>
            <xdr:cNvSpPr/>
          </xdr:nvSpPr>
          <xdr:spPr>
            <a:xfrm>
              <a:off x="2714546" y="1501555"/>
              <a:ext cx="306599" cy="301738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2</a:t>
              </a:r>
              <a:endParaRPr lang="ko-KR" altLang="en-US" sz="1400"/>
            </a:p>
          </xdr:txBody>
        </xdr:sp>
        <xdr:sp macro="" textlink="">
          <xdr:nvSpPr>
            <xdr:cNvPr id="258" name="타원 257">
              <a:extLst>
                <a:ext uri="{FF2B5EF4-FFF2-40B4-BE49-F238E27FC236}">
                  <a16:creationId xmlns:a16="http://schemas.microsoft.com/office/drawing/2014/main" id="{85BD48C9-9806-639B-549D-E091C91BA969}"/>
                </a:ext>
              </a:extLst>
            </xdr:cNvPr>
            <xdr:cNvSpPr/>
          </xdr:nvSpPr>
          <xdr:spPr>
            <a:xfrm>
              <a:off x="2326406" y="1502147"/>
              <a:ext cx="311636" cy="311264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3</a:t>
              </a:r>
              <a:endParaRPr lang="ko-KR" altLang="en-US" sz="1400"/>
            </a:p>
          </xdr:txBody>
        </xdr:sp>
        <xdr:sp macro="" textlink="">
          <xdr:nvSpPr>
            <xdr:cNvPr id="259" name="타원 258">
              <a:extLst>
                <a:ext uri="{FF2B5EF4-FFF2-40B4-BE49-F238E27FC236}">
                  <a16:creationId xmlns:a16="http://schemas.microsoft.com/office/drawing/2014/main" id="{949EA564-C0FD-315B-3C9D-DE5534865B34}"/>
                </a:ext>
              </a:extLst>
            </xdr:cNvPr>
            <xdr:cNvSpPr/>
          </xdr:nvSpPr>
          <xdr:spPr>
            <a:xfrm>
              <a:off x="2327334" y="1036016"/>
              <a:ext cx="317353" cy="29115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4</a:t>
              </a:r>
              <a:endParaRPr lang="ko-KR" altLang="en-US" sz="1400"/>
            </a:p>
          </xdr:txBody>
        </xdr:sp>
        <xdr:sp macro="" textlink="">
          <xdr:nvSpPr>
            <xdr:cNvPr id="260" name="타원 259">
              <a:extLst>
                <a:ext uri="{FF2B5EF4-FFF2-40B4-BE49-F238E27FC236}">
                  <a16:creationId xmlns:a16="http://schemas.microsoft.com/office/drawing/2014/main" id="{414AD101-80B7-587F-10F9-366C45ED994C}"/>
                </a:ext>
              </a:extLst>
            </xdr:cNvPr>
            <xdr:cNvSpPr/>
          </xdr:nvSpPr>
          <xdr:spPr>
            <a:xfrm>
              <a:off x="3473393" y="1511626"/>
              <a:ext cx="308504" cy="29877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5</a:t>
              </a:r>
              <a:endParaRPr lang="ko-KR" altLang="en-US" sz="1400"/>
            </a:p>
          </xdr:txBody>
        </xdr:sp>
        <xdr:sp macro="" textlink="">
          <xdr:nvSpPr>
            <xdr:cNvPr id="261" name="타원 260">
              <a:extLst>
                <a:ext uri="{FF2B5EF4-FFF2-40B4-BE49-F238E27FC236}">
                  <a16:creationId xmlns:a16="http://schemas.microsoft.com/office/drawing/2014/main" id="{7AF7679A-8521-FA27-3897-FD7C4EFF6386}"/>
                </a:ext>
              </a:extLst>
            </xdr:cNvPr>
            <xdr:cNvSpPr/>
          </xdr:nvSpPr>
          <xdr:spPr>
            <a:xfrm>
              <a:off x="3095787" y="2017268"/>
              <a:ext cx="291618" cy="300676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6</a:t>
              </a:r>
              <a:endParaRPr lang="ko-KR" altLang="en-US" sz="1400"/>
            </a:p>
          </xdr:txBody>
        </xdr:sp>
        <xdr:sp macro="" textlink="">
          <xdr:nvSpPr>
            <xdr:cNvPr id="262" name="타원 261">
              <a:extLst>
                <a:ext uri="{FF2B5EF4-FFF2-40B4-BE49-F238E27FC236}">
                  <a16:creationId xmlns:a16="http://schemas.microsoft.com/office/drawing/2014/main" id="{28BF0D41-433A-02F9-60E5-F99798E19523}"/>
                </a:ext>
              </a:extLst>
            </xdr:cNvPr>
            <xdr:cNvSpPr/>
          </xdr:nvSpPr>
          <xdr:spPr>
            <a:xfrm>
              <a:off x="2721991" y="1038915"/>
              <a:ext cx="298412" cy="28734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7</a:t>
              </a:r>
              <a:endParaRPr lang="ko-KR" altLang="en-US" sz="1400"/>
            </a:p>
          </xdr:txBody>
        </xdr:sp>
        <xdr:sp macro="" textlink="">
          <xdr:nvSpPr>
            <xdr:cNvPr id="263" name="타원 262">
              <a:extLst>
                <a:ext uri="{FF2B5EF4-FFF2-40B4-BE49-F238E27FC236}">
                  <a16:creationId xmlns:a16="http://schemas.microsoft.com/office/drawing/2014/main" id="{12EA8979-5042-E259-3701-F38886B5B809}"/>
                </a:ext>
              </a:extLst>
            </xdr:cNvPr>
            <xdr:cNvSpPr/>
          </xdr:nvSpPr>
          <xdr:spPr>
            <a:xfrm>
              <a:off x="2721576" y="1999852"/>
              <a:ext cx="296507" cy="30639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8</a:t>
              </a:r>
              <a:endParaRPr lang="ko-KR" altLang="en-US" sz="1400"/>
            </a:p>
          </xdr:txBody>
        </xdr:sp>
        <xdr:sp macro="" textlink="">
          <xdr:nvSpPr>
            <xdr:cNvPr id="264" name="타원 263">
              <a:extLst>
                <a:ext uri="{FF2B5EF4-FFF2-40B4-BE49-F238E27FC236}">
                  <a16:creationId xmlns:a16="http://schemas.microsoft.com/office/drawing/2014/main" id="{00127EDA-A8B5-A78D-19A9-942ADA6F0B5F}"/>
                </a:ext>
              </a:extLst>
            </xdr:cNvPr>
            <xdr:cNvSpPr/>
          </xdr:nvSpPr>
          <xdr:spPr>
            <a:xfrm>
              <a:off x="3136450" y="1053885"/>
              <a:ext cx="288887" cy="287890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9</a:t>
              </a:r>
              <a:endParaRPr lang="ko-KR" altLang="en-US" sz="1400"/>
            </a:p>
          </xdr:txBody>
        </xdr:sp>
        <xdr:sp macro="" textlink="">
          <xdr:nvSpPr>
            <xdr:cNvPr id="265" name="타원 264">
              <a:extLst>
                <a:ext uri="{FF2B5EF4-FFF2-40B4-BE49-F238E27FC236}">
                  <a16:creationId xmlns:a16="http://schemas.microsoft.com/office/drawing/2014/main" id="{608B1E91-3C1E-524C-9295-29BD1B28E00C}"/>
                </a:ext>
              </a:extLst>
            </xdr:cNvPr>
            <xdr:cNvSpPr/>
          </xdr:nvSpPr>
          <xdr:spPr>
            <a:xfrm>
              <a:off x="2326681" y="2015942"/>
              <a:ext cx="311638" cy="289246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10</a:t>
              </a:r>
              <a:endParaRPr lang="ko-KR" altLang="en-US" sz="1400"/>
            </a:p>
          </xdr:txBody>
        </xdr:sp>
        <xdr:sp macro="" textlink="">
          <xdr:nvSpPr>
            <xdr:cNvPr id="266" name="타원 265">
              <a:extLst>
                <a:ext uri="{FF2B5EF4-FFF2-40B4-BE49-F238E27FC236}">
                  <a16:creationId xmlns:a16="http://schemas.microsoft.com/office/drawing/2014/main" id="{9D4AC74B-5B78-52FB-1EB1-AE5D4796F64E}"/>
                </a:ext>
              </a:extLst>
            </xdr:cNvPr>
            <xdr:cNvSpPr/>
          </xdr:nvSpPr>
          <xdr:spPr>
            <a:xfrm>
              <a:off x="3094653" y="1502297"/>
              <a:ext cx="292438" cy="296023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11</a:t>
              </a:r>
              <a:endParaRPr lang="ko-KR" altLang="en-US" sz="1400"/>
            </a:p>
          </xdr:txBody>
        </xdr:sp>
        <xdr:cxnSp macro="">
          <xdr:nvCxnSpPr>
            <xdr:cNvPr id="267" name="직선 연결선 266">
              <a:extLst>
                <a:ext uri="{FF2B5EF4-FFF2-40B4-BE49-F238E27FC236}">
                  <a16:creationId xmlns:a16="http://schemas.microsoft.com/office/drawing/2014/main" id="{E72814E4-216E-4F0A-B9D6-F1925D98FE7D}"/>
                </a:ext>
              </a:extLst>
            </xdr:cNvPr>
            <xdr:cNvCxnSpPr>
              <a:stCxn id="259" idx="4"/>
              <a:endCxn id="258" idx="0"/>
            </xdr:cNvCxnSpPr>
          </xdr:nvCxnSpPr>
          <xdr:spPr>
            <a:xfrm flipH="1">
              <a:off x="2485082" y="1321452"/>
              <a:ext cx="2834" cy="184505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8" name="직선 연결선 267">
              <a:extLst>
                <a:ext uri="{FF2B5EF4-FFF2-40B4-BE49-F238E27FC236}">
                  <a16:creationId xmlns:a16="http://schemas.microsoft.com/office/drawing/2014/main" id="{0FAF8896-CF1A-2E55-BDC6-63E1B6E259D1}"/>
                </a:ext>
              </a:extLst>
            </xdr:cNvPr>
            <xdr:cNvCxnSpPr>
              <a:stCxn id="256" idx="4"/>
              <a:endCxn id="259" idx="0"/>
            </xdr:cNvCxnSpPr>
          </xdr:nvCxnSpPr>
          <xdr:spPr>
            <a:xfrm flipH="1">
              <a:off x="2487916" y="816504"/>
              <a:ext cx="0" cy="223322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255" name="직사각형 254">
            <a:extLst>
              <a:ext uri="{FF2B5EF4-FFF2-40B4-BE49-F238E27FC236}">
                <a16:creationId xmlns:a16="http://schemas.microsoft.com/office/drawing/2014/main" id="{46817DFC-1B61-9AE7-9BD9-782D73103AE3}"/>
              </a:ext>
            </a:extLst>
          </xdr:cNvPr>
          <xdr:cNvSpPr/>
        </xdr:nvSpPr>
        <xdr:spPr>
          <a:xfrm>
            <a:off x="1935489" y="441881"/>
            <a:ext cx="1668770" cy="245107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0</a:t>
            </a:r>
            <a:r>
              <a:rPr lang="en-US" altLang="ko-KR" sz="1100" baseline="0"/>
              <a:t> 2</a:t>
            </a:r>
            <a:endParaRPr lang="ko-KR" altLang="en-US" sz="1100"/>
          </a:p>
        </xdr:txBody>
      </xdr:sp>
    </xdr:grpSp>
    <xdr:clientData/>
  </xdr:twoCellAnchor>
  <xdr:twoCellAnchor>
    <xdr:from>
      <xdr:col>30</xdr:col>
      <xdr:colOff>12503</xdr:colOff>
      <xdr:row>2</xdr:row>
      <xdr:rowOff>56030</xdr:rowOff>
    </xdr:from>
    <xdr:to>
      <xdr:col>32</xdr:col>
      <xdr:colOff>321002</xdr:colOff>
      <xdr:row>12</xdr:row>
      <xdr:rowOff>37281</xdr:rowOff>
    </xdr:to>
    <xdr:grpSp>
      <xdr:nvGrpSpPr>
        <xdr:cNvPr id="269" name="그룹 268">
          <a:extLst>
            <a:ext uri="{FF2B5EF4-FFF2-40B4-BE49-F238E27FC236}">
              <a16:creationId xmlns:a16="http://schemas.microsoft.com/office/drawing/2014/main" id="{B31BC6AE-FE54-4BFD-A039-52C5C34C13FF}"/>
            </a:ext>
          </a:extLst>
        </xdr:cNvPr>
        <xdr:cNvGrpSpPr/>
      </xdr:nvGrpSpPr>
      <xdr:grpSpPr>
        <a:xfrm>
          <a:off x="19664483" y="505610"/>
          <a:ext cx="1649619" cy="2191051"/>
          <a:chOff x="1935489" y="441881"/>
          <a:chExt cx="1668770" cy="2150383"/>
        </a:xfrm>
      </xdr:grpSpPr>
      <xdr:grpSp>
        <xdr:nvGrpSpPr>
          <xdr:cNvPr id="270" name="그룹 269">
            <a:extLst>
              <a:ext uri="{FF2B5EF4-FFF2-40B4-BE49-F238E27FC236}">
                <a16:creationId xmlns:a16="http://schemas.microsoft.com/office/drawing/2014/main" id="{C4C704CE-5AD2-144F-DE35-673E2AFE4172}"/>
              </a:ext>
            </a:extLst>
          </xdr:cNvPr>
          <xdr:cNvGrpSpPr/>
        </xdr:nvGrpSpPr>
        <xdr:grpSpPr>
          <a:xfrm>
            <a:off x="2050181" y="790991"/>
            <a:ext cx="1453586" cy="1801273"/>
            <a:chOff x="2326406" y="520481"/>
            <a:chExt cx="1455491" cy="1797463"/>
          </a:xfrm>
        </xdr:grpSpPr>
        <xdr:sp macro="" textlink="">
          <xdr:nvSpPr>
            <xdr:cNvPr id="272" name="타원 271">
              <a:extLst>
                <a:ext uri="{FF2B5EF4-FFF2-40B4-BE49-F238E27FC236}">
                  <a16:creationId xmlns:a16="http://schemas.microsoft.com/office/drawing/2014/main" id="{3490103C-7D05-0BAC-C2FD-35415B49C51F}"/>
                </a:ext>
              </a:extLst>
            </xdr:cNvPr>
            <xdr:cNvSpPr/>
          </xdr:nvSpPr>
          <xdr:spPr>
            <a:xfrm>
              <a:off x="2341245" y="520481"/>
              <a:ext cx="303828" cy="299833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</a:t>
              </a:r>
              <a:endParaRPr lang="ko-KR" altLang="en-US" sz="1400"/>
            </a:p>
          </xdr:txBody>
        </xdr:sp>
        <xdr:sp macro="" textlink="">
          <xdr:nvSpPr>
            <xdr:cNvPr id="273" name="타원 272">
              <a:extLst>
                <a:ext uri="{FF2B5EF4-FFF2-40B4-BE49-F238E27FC236}">
                  <a16:creationId xmlns:a16="http://schemas.microsoft.com/office/drawing/2014/main" id="{B3096667-EADD-BB2C-54A0-3E9421A042AA}"/>
                </a:ext>
              </a:extLst>
            </xdr:cNvPr>
            <xdr:cNvSpPr/>
          </xdr:nvSpPr>
          <xdr:spPr>
            <a:xfrm>
              <a:off x="2714546" y="1501555"/>
              <a:ext cx="306599" cy="301738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2</a:t>
              </a:r>
              <a:endParaRPr lang="ko-KR" altLang="en-US" sz="1400"/>
            </a:p>
          </xdr:txBody>
        </xdr:sp>
        <xdr:sp macro="" textlink="">
          <xdr:nvSpPr>
            <xdr:cNvPr id="274" name="타원 273">
              <a:extLst>
                <a:ext uri="{FF2B5EF4-FFF2-40B4-BE49-F238E27FC236}">
                  <a16:creationId xmlns:a16="http://schemas.microsoft.com/office/drawing/2014/main" id="{44F46B8A-F8D1-FA13-C810-EB87D20E0ADC}"/>
                </a:ext>
              </a:extLst>
            </xdr:cNvPr>
            <xdr:cNvSpPr/>
          </xdr:nvSpPr>
          <xdr:spPr>
            <a:xfrm>
              <a:off x="2326406" y="1502147"/>
              <a:ext cx="311636" cy="311264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3</a:t>
              </a:r>
              <a:endParaRPr lang="ko-KR" altLang="en-US" sz="1400"/>
            </a:p>
          </xdr:txBody>
        </xdr:sp>
        <xdr:sp macro="" textlink="">
          <xdr:nvSpPr>
            <xdr:cNvPr id="275" name="타원 274">
              <a:extLst>
                <a:ext uri="{FF2B5EF4-FFF2-40B4-BE49-F238E27FC236}">
                  <a16:creationId xmlns:a16="http://schemas.microsoft.com/office/drawing/2014/main" id="{E9A00314-53B5-0012-8CB3-4DA87F1334BF}"/>
                </a:ext>
              </a:extLst>
            </xdr:cNvPr>
            <xdr:cNvSpPr/>
          </xdr:nvSpPr>
          <xdr:spPr>
            <a:xfrm>
              <a:off x="2327334" y="1036016"/>
              <a:ext cx="317353" cy="29115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4</a:t>
              </a:r>
              <a:endParaRPr lang="ko-KR" altLang="en-US" sz="1400"/>
            </a:p>
          </xdr:txBody>
        </xdr:sp>
        <xdr:sp macro="" textlink="">
          <xdr:nvSpPr>
            <xdr:cNvPr id="276" name="타원 275">
              <a:extLst>
                <a:ext uri="{FF2B5EF4-FFF2-40B4-BE49-F238E27FC236}">
                  <a16:creationId xmlns:a16="http://schemas.microsoft.com/office/drawing/2014/main" id="{803CDE60-FB41-536E-CC72-ED4465274DCB}"/>
                </a:ext>
              </a:extLst>
            </xdr:cNvPr>
            <xdr:cNvSpPr/>
          </xdr:nvSpPr>
          <xdr:spPr>
            <a:xfrm>
              <a:off x="3473393" y="1511626"/>
              <a:ext cx="308504" cy="29877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5</a:t>
              </a:r>
              <a:endParaRPr lang="ko-KR" altLang="en-US" sz="1400"/>
            </a:p>
          </xdr:txBody>
        </xdr:sp>
        <xdr:sp macro="" textlink="">
          <xdr:nvSpPr>
            <xdr:cNvPr id="277" name="타원 276">
              <a:extLst>
                <a:ext uri="{FF2B5EF4-FFF2-40B4-BE49-F238E27FC236}">
                  <a16:creationId xmlns:a16="http://schemas.microsoft.com/office/drawing/2014/main" id="{461901DD-62F4-FF22-FF67-E58C81AB087C}"/>
                </a:ext>
              </a:extLst>
            </xdr:cNvPr>
            <xdr:cNvSpPr/>
          </xdr:nvSpPr>
          <xdr:spPr>
            <a:xfrm>
              <a:off x="3095787" y="2017268"/>
              <a:ext cx="291618" cy="300676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6</a:t>
              </a:r>
              <a:endParaRPr lang="ko-KR" altLang="en-US" sz="1400"/>
            </a:p>
          </xdr:txBody>
        </xdr:sp>
        <xdr:sp macro="" textlink="">
          <xdr:nvSpPr>
            <xdr:cNvPr id="278" name="타원 277">
              <a:extLst>
                <a:ext uri="{FF2B5EF4-FFF2-40B4-BE49-F238E27FC236}">
                  <a16:creationId xmlns:a16="http://schemas.microsoft.com/office/drawing/2014/main" id="{F2548027-465D-3AEC-E583-27DAE647B59B}"/>
                </a:ext>
              </a:extLst>
            </xdr:cNvPr>
            <xdr:cNvSpPr/>
          </xdr:nvSpPr>
          <xdr:spPr>
            <a:xfrm>
              <a:off x="2721991" y="1038915"/>
              <a:ext cx="298412" cy="28734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7</a:t>
              </a:r>
              <a:endParaRPr lang="ko-KR" altLang="en-US" sz="1400"/>
            </a:p>
          </xdr:txBody>
        </xdr:sp>
        <xdr:sp macro="" textlink="">
          <xdr:nvSpPr>
            <xdr:cNvPr id="279" name="타원 278">
              <a:extLst>
                <a:ext uri="{FF2B5EF4-FFF2-40B4-BE49-F238E27FC236}">
                  <a16:creationId xmlns:a16="http://schemas.microsoft.com/office/drawing/2014/main" id="{C144E72C-1111-B5AC-3D09-42ACB585985B}"/>
                </a:ext>
              </a:extLst>
            </xdr:cNvPr>
            <xdr:cNvSpPr/>
          </xdr:nvSpPr>
          <xdr:spPr>
            <a:xfrm>
              <a:off x="2721576" y="1999852"/>
              <a:ext cx="296507" cy="30639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8</a:t>
              </a:r>
              <a:endParaRPr lang="ko-KR" altLang="en-US" sz="1400"/>
            </a:p>
          </xdr:txBody>
        </xdr:sp>
        <xdr:sp macro="" textlink="">
          <xdr:nvSpPr>
            <xdr:cNvPr id="280" name="타원 279">
              <a:extLst>
                <a:ext uri="{FF2B5EF4-FFF2-40B4-BE49-F238E27FC236}">
                  <a16:creationId xmlns:a16="http://schemas.microsoft.com/office/drawing/2014/main" id="{FD36B03C-1FD6-053E-4329-DC9EA6F04D04}"/>
                </a:ext>
              </a:extLst>
            </xdr:cNvPr>
            <xdr:cNvSpPr/>
          </xdr:nvSpPr>
          <xdr:spPr>
            <a:xfrm>
              <a:off x="3136450" y="1053885"/>
              <a:ext cx="288887" cy="287890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9</a:t>
              </a:r>
              <a:endParaRPr lang="ko-KR" altLang="en-US" sz="1400"/>
            </a:p>
          </xdr:txBody>
        </xdr:sp>
        <xdr:sp macro="" textlink="">
          <xdr:nvSpPr>
            <xdr:cNvPr id="281" name="타원 280">
              <a:extLst>
                <a:ext uri="{FF2B5EF4-FFF2-40B4-BE49-F238E27FC236}">
                  <a16:creationId xmlns:a16="http://schemas.microsoft.com/office/drawing/2014/main" id="{90F0BE13-7210-E315-F358-ECEDA005E280}"/>
                </a:ext>
              </a:extLst>
            </xdr:cNvPr>
            <xdr:cNvSpPr/>
          </xdr:nvSpPr>
          <xdr:spPr>
            <a:xfrm>
              <a:off x="2326681" y="2015942"/>
              <a:ext cx="311638" cy="289246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10</a:t>
              </a:r>
              <a:endParaRPr lang="ko-KR" altLang="en-US" sz="1400"/>
            </a:p>
          </xdr:txBody>
        </xdr:sp>
        <xdr:sp macro="" textlink="">
          <xdr:nvSpPr>
            <xdr:cNvPr id="282" name="타원 281">
              <a:extLst>
                <a:ext uri="{FF2B5EF4-FFF2-40B4-BE49-F238E27FC236}">
                  <a16:creationId xmlns:a16="http://schemas.microsoft.com/office/drawing/2014/main" id="{293AAC9B-41CF-1B96-5E66-6197FC1E4982}"/>
                </a:ext>
              </a:extLst>
            </xdr:cNvPr>
            <xdr:cNvSpPr/>
          </xdr:nvSpPr>
          <xdr:spPr>
            <a:xfrm>
              <a:off x="3094653" y="1502297"/>
              <a:ext cx="292438" cy="296023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11</a:t>
              </a:r>
              <a:endParaRPr lang="ko-KR" altLang="en-US" sz="1400"/>
            </a:p>
          </xdr:txBody>
        </xdr:sp>
        <xdr:cxnSp macro="">
          <xdr:nvCxnSpPr>
            <xdr:cNvPr id="283" name="직선 연결선 282">
              <a:extLst>
                <a:ext uri="{FF2B5EF4-FFF2-40B4-BE49-F238E27FC236}">
                  <a16:creationId xmlns:a16="http://schemas.microsoft.com/office/drawing/2014/main" id="{41527F2A-E627-52E0-E327-AD12A4A447C3}"/>
                </a:ext>
              </a:extLst>
            </xdr:cNvPr>
            <xdr:cNvCxnSpPr>
              <a:stCxn id="272" idx="4"/>
              <a:endCxn id="275" idx="0"/>
            </xdr:cNvCxnSpPr>
          </xdr:nvCxnSpPr>
          <xdr:spPr>
            <a:xfrm flipH="1">
              <a:off x="2487916" y="816504"/>
              <a:ext cx="0" cy="223322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271" name="직사각형 270">
            <a:extLst>
              <a:ext uri="{FF2B5EF4-FFF2-40B4-BE49-F238E27FC236}">
                <a16:creationId xmlns:a16="http://schemas.microsoft.com/office/drawing/2014/main" id="{9A5EC50E-2684-0687-D345-C58A82093430}"/>
              </a:ext>
            </a:extLst>
          </xdr:cNvPr>
          <xdr:cNvSpPr/>
        </xdr:nvSpPr>
        <xdr:spPr>
          <a:xfrm>
            <a:off x="1935489" y="441881"/>
            <a:ext cx="1668770" cy="245107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0</a:t>
            </a:r>
            <a:r>
              <a:rPr lang="en-US" altLang="ko-KR" sz="1100" baseline="0"/>
              <a:t> 3</a:t>
            </a:r>
            <a:endParaRPr lang="ko-KR" altLang="en-US" sz="1100"/>
          </a:p>
        </xdr:txBody>
      </xdr:sp>
    </xdr:grpSp>
    <xdr:clientData/>
  </xdr:twoCellAnchor>
  <xdr:twoCellAnchor>
    <xdr:from>
      <xdr:col>32</xdr:col>
      <xdr:colOff>657754</xdr:colOff>
      <xdr:row>2</xdr:row>
      <xdr:rowOff>56030</xdr:rowOff>
    </xdr:from>
    <xdr:to>
      <xdr:col>35</xdr:col>
      <xdr:colOff>295693</xdr:colOff>
      <xdr:row>12</xdr:row>
      <xdr:rowOff>37281</xdr:rowOff>
    </xdr:to>
    <xdr:grpSp>
      <xdr:nvGrpSpPr>
        <xdr:cNvPr id="284" name="그룹 283">
          <a:extLst>
            <a:ext uri="{FF2B5EF4-FFF2-40B4-BE49-F238E27FC236}">
              <a16:creationId xmlns:a16="http://schemas.microsoft.com/office/drawing/2014/main" id="{93E05B15-A59B-478D-A594-559F4E14C28D}"/>
            </a:ext>
          </a:extLst>
        </xdr:cNvPr>
        <xdr:cNvGrpSpPr/>
      </xdr:nvGrpSpPr>
      <xdr:grpSpPr>
        <a:xfrm>
          <a:off x="21650854" y="505610"/>
          <a:ext cx="1649619" cy="2191051"/>
          <a:chOff x="1935489" y="441881"/>
          <a:chExt cx="1668770" cy="2150383"/>
        </a:xfrm>
      </xdr:grpSpPr>
      <xdr:grpSp>
        <xdr:nvGrpSpPr>
          <xdr:cNvPr id="285" name="그룹 284">
            <a:extLst>
              <a:ext uri="{FF2B5EF4-FFF2-40B4-BE49-F238E27FC236}">
                <a16:creationId xmlns:a16="http://schemas.microsoft.com/office/drawing/2014/main" id="{68B80656-7A03-94EF-4A17-C9C3E725600D}"/>
              </a:ext>
            </a:extLst>
          </xdr:cNvPr>
          <xdr:cNvGrpSpPr/>
        </xdr:nvGrpSpPr>
        <xdr:grpSpPr>
          <a:xfrm>
            <a:off x="2050181" y="790991"/>
            <a:ext cx="1453586" cy="1801273"/>
            <a:chOff x="2326406" y="520481"/>
            <a:chExt cx="1455491" cy="1797463"/>
          </a:xfrm>
        </xdr:grpSpPr>
        <xdr:sp macro="" textlink="">
          <xdr:nvSpPr>
            <xdr:cNvPr id="287" name="타원 286">
              <a:extLst>
                <a:ext uri="{FF2B5EF4-FFF2-40B4-BE49-F238E27FC236}">
                  <a16:creationId xmlns:a16="http://schemas.microsoft.com/office/drawing/2014/main" id="{1DF6F2EF-E950-FE9A-988A-65ACC3709E87}"/>
                </a:ext>
              </a:extLst>
            </xdr:cNvPr>
            <xdr:cNvSpPr/>
          </xdr:nvSpPr>
          <xdr:spPr>
            <a:xfrm>
              <a:off x="2341245" y="520481"/>
              <a:ext cx="303828" cy="299833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</a:t>
              </a:r>
              <a:endParaRPr lang="ko-KR" altLang="en-US" sz="1400"/>
            </a:p>
          </xdr:txBody>
        </xdr:sp>
        <xdr:sp macro="" textlink="">
          <xdr:nvSpPr>
            <xdr:cNvPr id="288" name="타원 287">
              <a:extLst>
                <a:ext uri="{FF2B5EF4-FFF2-40B4-BE49-F238E27FC236}">
                  <a16:creationId xmlns:a16="http://schemas.microsoft.com/office/drawing/2014/main" id="{0EAA0063-3E20-5365-E77C-633D87D97620}"/>
                </a:ext>
              </a:extLst>
            </xdr:cNvPr>
            <xdr:cNvSpPr/>
          </xdr:nvSpPr>
          <xdr:spPr>
            <a:xfrm>
              <a:off x="2714546" y="1501555"/>
              <a:ext cx="306599" cy="301738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2</a:t>
              </a:r>
              <a:endParaRPr lang="ko-KR" altLang="en-US" sz="1400"/>
            </a:p>
          </xdr:txBody>
        </xdr:sp>
        <xdr:sp macro="" textlink="">
          <xdr:nvSpPr>
            <xdr:cNvPr id="289" name="타원 288">
              <a:extLst>
                <a:ext uri="{FF2B5EF4-FFF2-40B4-BE49-F238E27FC236}">
                  <a16:creationId xmlns:a16="http://schemas.microsoft.com/office/drawing/2014/main" id="{184BB56F-53D1-8983-CC69-EA22BD95A09C}"/>
                </a:ext>
              </a:extLst>
            </xdr:cNvPr>
            <xdr:cNvSpPr/>
          </xdr:nvSpPr>
          <xdr:spPr>
            <a:xfrm>
              <a:off x="2326406" y="1502147"/>
              <a:ext cx="311636" cy="311264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3</a:t>
              </a:r>
              <a:endParaRPr lang="ko-KR" altLang="en-US" sz="1400"/>
            </a:p>
          </xdr:txBody>
        </xdr:sp>
        <xdr:sp macro="" textlink="">
          <xdr:nvSpPr>
            <xdr:cNvPr id="290" name="타원 289">
              <a:extLst>
                <a:ext uri="{FF2B5EF4-FFF2-40B4-BE49-F238E27FC236}">
                  <a16:creationId xmlns:a16="http://schemas.microsoft.com/office/drawing/2014/main" id="{24828542-2996-24FC-7CFC-BFAC2142A32B}"/>
                </a:ext>
              </a:extLst>
            </xdr:cNvPr>
            <xdr:cNvSpPr/>
          </xdr:nvSpPr>
          <xdr:spPr>
            <a:xfrm>
              <a:off x="2327334" y="1036016"/>
              <a:ext cx="317353" cy="29115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4</a:t>
              </a:r>
              <a:endParaRPr lang="ko-KR" altLang="en-US" sz="1400"/>
            </a:p>
          </xdr:txBody>
        </xdr:sp>
        <xdr:sp macro="" textlink="">
          <xdr:nvSpPr>
            <xdr:cNvPr id="291" name="타원 290">
              <a:extLst>
                <a:ext uri="{FF2B5EF4-FFF2-40B4-BE49-F238E27FC236}">
                  <a16:creationId xmlns:a16="http://schemas.microsoft.com/office/drawing/2014/main" id="{3CDA2A33-9049-F4D7-6EAD-E73357FEBB41}"/>
                </a:ext>
              </a:extLst>
            </xdr:cNvPr>
            <xdr:cNvSpPr/>
          </xdr:nvSpPr>
          <xdr:spPr>
            <a:xfrm>
              <a:off x="3473393" y="1511626"/>
              <a:ext cx="308504" cy="29877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5</a:t>
              </a:r>
              <a:endParaRPr lang="ko-KR" altLang="en-US" sz="1400"/>
            </a:p>
          </xdr:txBody>
        </xdr:sp>
        <xdr:sp macro="" textlink="">
          <xdr:nvSpPr>
            <xdr:cNvPr id="292" name="타원 291">
              <a:extLst>
                <a:ext uri="{FF2B5EF4-FFF2-40B4-BE49-F238E27FC236}">
                  <a16:creationId xmlns:a16="http://schemas.microsoft.com/office/drawing/2014/main" id="{5ECAFD3F-86D7-FC77-4AA6-2FAA09AFEAEC}"/>
                </a:ext>
              </a:extLst>
            </xdr:cNvPr>
            <xdr:cNvSpPr/>
          </xdr:nvSpPr>
          <xdr:spPr>
            <a:xfrm>
              <a:off x="3095787" y="2017268"/>
              <a:ext cx="291618" cy="300676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6</a:t>
              </a:r>
              <a:endParaRPr lang="ko-KR" altLang="en-US" sz="1400"/>
            </a:p>
          </xdr:txBody>
        </xdr:sp>
        <xdr:sp macro="" textlink="">
          <xdr:nvSpPr>
            <xdr:cNvPr id="293" name="타원 292">
              <a:extLst>
                <a:ext uri="{FF2B5EF4-FFF2-40B4-BE49-F238E27FC236}">
                  <a16:creationId xmlns:a16="http://schemas.microsoft.com/office/drawing/2014/main" id="{1EF37544-2FBA-6F0D-B247-8323FFDA3C09}"/>
                </a:ext>
              </a:extLst>
            </xdr:cNvPr>
            <xdr:cNvSpPr/>
          </xdr:nvSpPr>
          <xdr:spPr>
            <a:xfrm>
              <a:off x="2721991" y="1038915"/>
              <a:ext cx="298412" cy="28734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7</a:t>
              </a:r>
              <a:endParaRPr lang="ko-KR" altLang="en-US" sz="1400"/>
            </a:p>
          </xdr:txBody>
        </xdr:sp>
        <xdr:sp macro="" textlink="">
          <xdr:nvSpPr>
            <xdr:cNvPr id="294" name="타원 293">
              <a:extLst>
                <a:ext uri="{FF2B5EF4-FFF2-40B4-BE49-F238E27FC236}">
                  <a16:creationId xmlns:a16="http://schemas.microsoft.com/office/drawing/2014/main" id="{6D508B8E-1A99-8C04-A522-FA9A2161C447}"/>
                </a:ext>
              </a:extLst>
            </xdr:cNvPr>
            <xdr:cNvSpPr/>
          </xdr:nvSpPr>
          <xdr:spPr>
            <a:xfrm>
              <a:off x="2721576" y="1999852"/>
              <a:ext cx="296507" cy="30639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8</a:t>
              </a:r>
              <a:endParaRPr lang="ko-KR" altLang="en-US" sz="1400"/>
            </a:p>
          </xdr:txBody>
        </xdr:sp>
        <xdr:sp macro="" textlink="">
          <xdr:nvSpPr>
            <xdr:cNvPr id="295" name="타원 294">
              <a:extLst>
                <a:ext uri="{FF2B5EF4-FFF2-40B4-BE49-F238E27FC236}">
                  <a16:creationId xmlns:a16="http://schemas.microsoft.com/office/drawing/2014/main" id="{872B93DA-29F6-60FC-79C0-F0D201EBF29F}"/>
                </a:ext>
              </a:extLst>
            </xdr:cNvPr>
            <xdr:cNvSpPr/>
          </xdr:nvSpPr>
          <xdr:spPr>
            <a:xfrm>
              <a:off x="3136450" y="1053885"/>
              <a:ext cx="288887" cy="287890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9</a:t>
              </a:r>
              <a:endParaRPr lang="ko-KR" altLang="en-US" sz="1400"/>
            </a:p>
          </xdr:txBody>
        </xdr:sp>
        <xdr:sp macro="" textlink="">
          <xdr:nvSpPr>
            <xdr:cNvPr id="296" name="타원 295">
              <a:extLst>
                <a:ext uri="{FF2B5EF4-FFF2-40B4-BE49-F238E27FC236}">
                  <a16:creationId xmlns:a16="http://schemas.microsoft.com/office/drawing/2014/main" id="{C1EC3B7F-B2E7-84FB-F6F3-D3CE574AF0B3}"/>
                </a:ext>
              </a:extLst>
            </xdr:cNvPr>
            <xdr:cNvSpPr/>
          </xdr:nvSpPr>
          <xdr:spPr>
            <a:xfrm>
              <a:off x="2326681" y="2015942"/>
              <a:ext cx="311638" cy="289246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10</a:t>
              </a:r>
              <a:endParaRPr lang="ko-KR" altLang="en-US" sz="1400"/>
            </a:p>
          </xdr:txBody>
        </xdr:sp>
        <xdr:sp macro="" textlink="">
          <xdr:nvSpPr>
            <xdr:cNvPr id="297" name="타원 296">
              <a:extLst>
                <a:ext uri="{FF2B5EF4-FFF2-40B4-BE49-F238E27FC236}">
                  <a16:creationId xmlns:a16="http://schemas.microsoft.com/office/drawing/2014/main" id="{542DD6B4-06A3-F03B-BC12-DC520C90DDF5}"/>
                </a:ext>
              </a:extLst>
            </xdr:cNvPr>
            <xdr:cNvSpPr/>
          </xdr:nvSpPr>
          <xdr:spPr>
            <a:xfrm>
              <a:off x="3094653" y="1502297"/>
              <a:ext cx="292438" cy="296023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11</a:t>
              </a:r>
              <a:endParaRPr lang="ko-KR" altLang="en-US" sz="1400"/>
            </a:p>
          </xdr:txBody>
        </xdr:sp>
      </xdr:grpSp>
      <xdr:sp macro="" textlink="">
        <xdr:nvSpPr>
          <xdr:cNvPr id="286" name="직사각형 285">
            <a:extLst>
              <a:ext uri="{FF2B5EF4-FFF2-40B4-BE49-F238E27FC236}">
                <a16:creationId xmlns:a16="http://schemas.microsoft.com/office/drawing/2014/main" id="{2FF7ADE5-FA37-8C77-B1AA-6CB941C9B325}"/>
              </a:ext>
            </a:extLst>
          </xdr:cNvPr>
          <xdr:cNvSpPr/>
        </xdr:nvSpPr>
        <xdr:spPr>
          <a:xfrm>
            <a:off x="1935489" y="441881"/>
            <a:ext cx="1668770" cy="245107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0</a:t>
            </a:r>
            <a:r>
              <a:rPr lang="en-US" altLang="ko-KR" sz="1100" baseline="0"/>
              <a:t> 4</a:t>
            </a:r>
            <a:endParaRPr lang="ko-KR" altLang="en-US" sz="1100"/>
          </a:p>
        </xdr:txBody>
      </xdr:sp>
    </xdr:grpSp>
    <xdr:clientData/>
  </xdr:twoCellAnchor>
  <xdr:twoCellAnchor>
    <xdr:from>
      <xdr:col>27</xdr:col>
      <xdr:colOff>10598</xdr:colOff>
      <xdr:row>13</xdr:row>
      <xdr:rowOff>59840</xdr:rowOff>
    </xdr:from>
    <xdr:to>
      <xdr:col>29</xdr:col>
      <xdr:colOff>317192</xdr:colOff>
      <xdr:row>23</xdr:row>
      <xdr:rowOff>37281</xdr:rowOff>
    </xdr:to>
    <xdr:grpSp>
      <xdr:nvGrpSpPr>
        <xdr:cNvPr id="298" name="그룹 297">
          <a:extLst>
            <a:ext uri="{FF2B5EF4-FFF2-40B4-BE49-F238E27FC236}">
              <a16:creationId xmlns:a16="http://schemas.microsoft.com/office/drawing/2014/main" id="{F5738E48-5932-44A0-8B5B-CA885EA30460}"/>
            </a:ext>
          </a:extLst>
        </xdr:cNvPr>
        <xdr:cNvGrpSpPr/>
      </xdr:nvGrpSpPr>
      <xdr:grpSpPr>
        <a:xfrm>
          <a:off x="17650898" y="2940200"/>
          <a:ext cx="1647714" cy="2187241"/>
          <a:chOff x="1935489" y="441881"/>
          <a:chExt cx="1668770" cy="2150383"/>
        </a:xfrm>
      </xdr:grpSpPr>
      <xdr:grpSp>
        <xdr:nvGrpSpPr>
          <xdr:cNvPr id="299" name="그룹 298">
            <a:extLst>
              <a:ext uri="{FF2B5EF4-FFF2-40B4-BE49-F238E27FC236}">
                <a16:creationId xmlns:a16="http://schemas.microsoft.com/office/drawing/2014/main" id="{8C4A4D60-2479-61A1-47A9-40854867F6AC}"/>
              </a:ext>
            </a:extLst>
          </xdr:cNvPr>
          <xdr:cNvGrpSpPr/>
        </xdr:nvGrpSpPr>
        <xdr:grpSpPr>
          <a:xfrm>
            <a:off x="2050181" y="790991"/>
            <a:ext cx="1453586" cy="1801273"/>
            <a:chOff x="2326406" y="520481"/>
            <a:chExt cx="1455491" cy="1797463"/>
          </a:xfrm>
        </xdr:grpSpPr>
        <xdr:sp macro="" textlink="">
          <xdr:nvSpPr>
            <xdr:cNvPr id="301" name="타원 300">
              <a:extLst>
                <a:ext uri="{FF2B5EF4-FFF2-40B4-BE49-F238E27FC236}">
                  <a16:creationId xmlns:a16="http://schemas.microsoft.com/office/drawing/2014/main" id="{72F5E56B-6EBE-FBAB-BFAB-4709CE090235}"/>
                </a:ext>
              </a:extLst>
            </xdr:cNvPr>
            <xdr:cNvSpPr/>
          </xdr:nvSpPr>
          <xdr:spPr>
            <a:xfrm>
              <a:off x="2341245" y="520481"/>
              <a:ext cx="303828" cy="299833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</a:t>
              </a:r>
              <a:endParaRPr lang="ko-KR" altLang="en-US" sz="1400"/>
            </a:p>
          </xdr:txBody>
        </xdr:sp>
        <xdr:sp macro="" textlink="">
          <xdr:nvSpPr>
            <xdr:cNvPr id="302" name="타원 301">
              <a:extLst>
                <a:ext uri="{FF2B5EF4-FFF2-40B4-BE49-F238E27FC236}">
                  <a16:creationId xmlns:a16="http://schemas.microsoft.com/office/drawing/2014/main" id="{0AFB20E5-F0ED-94D0-5087-C298DA7995D2}"/>
                </a:ext>
              </a:extLst>
            </xdr:cNvPr>
            <xdr:cNvSpPr/>
          </xdr:nvSpPr>
          <xdr:spPr>
            <a:xfrm>
              <a:off x="2714546" y="1501555"/>
              <a:ext cx="306599" cy="301738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2</a:t>
              </a:r>
              <a:endParaRPr lang="ko-KR" altLang="en-US" sz="1400"/>
            </a:p>
          </xdr:txBody>
        </xdr:sp>
        <xdr:sp macro="" textlink="">
          <xdr:nvSpPr>
            <xdr:cNvPr id="303" name="타원 302">
              <a:extLst>
                <a:ext uri="{FF2B5EF4-FFF2-40B4-BE49-F238E27FC236}">
                  <a16:creationId xmlns:a16="http://schemas.microsoft.com/office/drawing/2014/main" id="{DCDDA9A6-591E-C1C8-DCEB-B0EF7F84269E}"/>
                </a:ext>
              </a:extLst>
            </xdr:cNvPr>
            <xdr:cNvSpPr/>
          </xdr:nvSpPr>
          <xdr:spPr>
            <a:xfrm>
              <a:off x="2326406" y="1502147"/>
              <a:ext cx="311636" cy="311264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3</a:t>
              </a:r>
              <a:endParaRPr lang="ko-KR" altLang="en-US" sz="1400"/>
            </a:p>
          </xdr:txBody>
        </xdr:sp>
        <xdr:sp macro="" textlink="">
          <xdr:nvSpPr>
            <xdr:cNvPr id="304" name="타원 303">
              <a:extLst>
                <a:ext uri="{FF2B5EF4-FFF2-40B4-BE49-F238E27FC236}">
                  <a16:creationId xmlns:a16="http://schemas.microsoft.com/office/drawing/2014/main" id="{0321166B-4265-C44F-32AA-B78EB6348C1B}"/>
                </a:ext>
              </a:extLst>
            </xdr:cNvPr>
            <xdr:cNvSpPr/>
          </xdr:nvSpPr>
          <xdr:spPr>
            <a:xfrm>
              <a:off x="2327334" y="1036016"/>
              <a:ext cx="317353" cy="29115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4</a:t>
              </a:r>
              <a:endParaRPr lang="ko-KR" altLang="en-US" sz="1400"/>
            </a:p>
          </xdr:txBody>
        </xdr:sp>
        <xdr:sp macro="" textlink="">
          <xdr:nvSpPr>
            <xdr:cNvPr id="305" name="타원 304">
              <a:extLst>
                <a:ext uri="{FF2B5EF4-FFF2-40B4-BE49-F238E27FC236}">
                  <a16:creationId xmlns:a16="http://schemas.microsoft.com/office/drawing/2014/main" id="{BDCF4FBC-64C6-877A-7D45-8506C8F360AA}"/>
                </a:ext>
              </a:extLst>
            </xdr:cNvPr>
            <xdr:cNvSpPr/>
          </xdr:nvSpPr>
          <xdr:spPr>
            <a:xfrm>
              <a:off x="3473393" y="1511626"/>
              <a:ext cx="308504" cy="29877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5</a:t>
              </a:r>
              <a:endParaRPr lang="ko-KR" altLang="en-US" sz="1400"/>
            </a:p>
          </xdr:txBody>
        </xdr:sp>
        <xdr:sp macro="" textlink="">
          <xdr:nvSpPr>
            <xdr:cNvPr id="306" name="타원 305">
              <a:extLst>
                <a:ext uri="{FF2B5EF4-FFF2-40B4-BE49-F238E27FC236}">
                  <a16:creationId xmlns:a16="http://schemas.microsoft.com/office/drawing/2014/main" id="{EA89E189-07A5-F56D-F954-44EA81ADB6C8}"/>
                </a:ext>
              </a:extLst>
            </xdr:cNvPr>
            <xdr:cNvSpPr/>
          </xdr:nvSpPr>
          <xdr:spPr>
            <a:xfrm>
              <a:off x="3095787" y="2017268"/>
              <a:ext cx="291618" cy="300676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6</a:t>
              </a:r>
              <a:endParaRPr lang="ko-KR" altLang="en-US" sz="1400"/>
            </a:p>
          </xdr:txBody>
        </xdr:sp>
        <xdr:sp macro="" textlink="">
          <xdr:nvSpPr>
            <xdr:cNvPr id="307" name="타원 306">
              <a:extLst>
                <a:ext uri="{FF2B5EF4-FFF2-40B4-BE49-F238E27FC236}">
                  <a16:creationId xmlns:a16="http://schemas.microsoft.com/office/drawing/2014/main" id="{751B24B5-479E-D57B-87F3-41037D48D400}"/>
                </a:ext>
              </a:extLst>
            </xdr:cNvPr>
            <xdr:cNvSpPr/>
          </xdr:nvSpPr>
          <xdr:spPr>
            <a:xfrm>
              <a:off x="2721991" y="1038915"/>
              <a:ext cx="298412" cy="28734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7</a:t>
              </a:r>
              <a:endParaRPr lang="ko-KR" altLang="en-US" sz="1400"/>
            </a:p>
          </xdr:txBody>
        </xdr:sp>
        <xdr:sp macro="" textlink="">
          <xdr:nvSpPr>
            <xdr:cNvPr id="308" name="타원 307">
              <a:extLst>
                <a:ext uri="{FF2B5EF4-FFF2-40B4-BE49-F238E27FC236}">
                  <a16:creationId xmlns:a16="http://schemas.microsoft.com/office/drawing/2014/main" id="{BB140102-39BE-9D24-DF0E-AE73464DE12C}"/>
                </a:ext>
              </a:extLst>
            </xdr:cNvPr>
            <xdr:cNvSpPr/>
          </xdr:nvSpPr>
          <xdr:spPr>
            <a:xfrm>
              <a:off x="2721576" y="1999852"/>
              <a:ext cx="296507" cy="306391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8</a:t>
              </a:r>
              <a:endParaRPr lang="ko-KR" altLang="en-US" sz="1400"/>
            </a:p>
          </xdr:txBody>
        </xdr:sp>
        <xdr:sp macro="" textlink="">
          <xdr:nvSpPr>
            <xdr:cNvPr id="309" name="타원 308">
              <a:extLst>
                <a:ext uri="{FF2B5EF4-FFF2-40B4-BE49-F238E27FC236}">
                  <a16:creationId xmlns:a16="http://schemas.microsoft.com/office/drawing/2014/main" id="{8A153266-DD4D-B6F1-DC0B-39507059AB13}"/>
                </a:ext>
              </a:extLst>
            </xdr:cNvPr>
            <xdr:cNvSpPr/>
          </xdr:nvSpPr>
          <xdr:spPr>
            <a:xfrm>
              <a:off x="3136450" y="1053885"/>
              <a:ext cx="288887" cy="287890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9</a:t>
              </a:r>
              <a:endParaRPr lang="ko-KR" altLang="en-US" sz="1400"/>
            </a:p>
          </xdr:txBody>
        </xdr:sp>
        <xdr:sp macro="" textlink="">
          <xdr:nvSpPr>
            <xdr:cNvPr id="310" name="타원 309">
              <a:extLst>
                <a:ext uri="{FF2B5EF4-FFF2-40B4-BE49-F238E27FC236}">
                  <a16:creationId xmlns:a16="http://schemas.microsoft.com/office/drawing/2014/main" id="{579D6C02-7738-DAA8-32E5-C180C77BA54D}"/>
                </a:ext>
              </a:extLst>
            </xdr:cNvPr>
            <xdr:cNvSpPr/>
          </xdr:nvSpPr>
          <xdr:spPr>
            <a:xfrm>
              <a:off x="2326681" y="2015942"/>
              <a:ext cx="311638" cy="289246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10</a:t>
              </a:r>
              <a:endParaRPr lang="ko-KR" altLang="en-US" sz="1400"/>
            </a:p>
          </xdr:txBody>
        </xdr:sp>
        <xdr:sp macro="" textlink="">
          <xdr:nvSpPr>
            <xdr:cNvPr id="311" name="타원 310">
              <a:extLst>
                <a:ext uri="{FF2B5EF4-FFF2-40B4-BE49-F238E27FC236}">
                  <a16:creationId xmlns:a16="http://schemas.microsoft.com/office/drawing/2014/main" id="{BF93AA23-2B78-50B1-F65A-CAE0594AEB98}"/>
                </a:ext>
              </a:extLst>
            </xdr:cNvPr>
            <xdr:cNvSpPr/>
          </xdr:nvSpPr>
          <xdr:spPr>
            <a:xfrm>
              <a:off x="3094653" y="1502297"/>
              <a:ext cx="292438" cy="296023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rIns="0" rtlCol="0" anchor="ctr"/>
            <a:lstStyle/>
            <a:p>
              <a:pPr algn="ctr"/>
              <a:r>
                <a:rPr lang="en-US" altLang="ko-KR" sz="1400"/>
                <a:t>11</a:t>
              </a:r>
              <a:endParaRPr lang="ko-KR" altLang="en-US" sz="1400"/>
            </a:p>
          </xdr:txBody>
        </xdr:sp>
        <xdr:cxnSp macro="">
          <xdr:nvCxnSpPr>
            <xdr:cNvPr id="312" name="직선 연결선 311">
              <a:extLst>
                <a:ext uri="{FF2B5EF4-FFF2-40B4-BE49-F238E27FC236}">
                  <a16:creationId xmlns:a16="http://schemas.microsoft.com/office/drawing/2014/main" id="{08B0F090-F3C7-82D7-EEEB-EA59116BB5A9}"/>
                </a:ext>
              </a:extLst>
            </xdr:cNvPr>
            <xdr:cNvCxnSpPr>
              <a:stCxn id="304" idx="4"/>
              <a:endCxn id="303" idx="0"/>
            </xdr:cNvCxnSpPr>
          </xdr:nvCxnSpPr>
          <xdr:spPr>
            <a:xfrm flipH="1">
              <a:off x="2485082" y="1321452"/>
              <a:ext cx="2834" cy="184505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3" name="직선 연결선 312">
              <a:extLst>
                <a:ext uri="{FF2B5EF4-FFF2-40B4-BE49-F238E27FC236}">
                  <a16:creationId xmlns:a16="http://schemas.microsoft.com/office/drawing/2014/main" id="{4EACDD93-8EAF-24CF-686E-281DE81E477B}"/>
                </a:ext>
              </a:extLst>
            </xdr:cNvPr>
            <xdr:cNvCxnSpPr>
              <a:stCxn id="301" idx="4"/>
              <a:endCxn id="304" idx="0"/>
            </xdr:cNvCxnSpPr>
          </xdr:nvCxnSpPr>
          <xdr:spPr>
            <a:xfrm flipH="1">
              <a:off x="2487916" y="816504"/>
              <a:ext cx="0" cy="223322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300" name="직사각형 299">
            <a:extLst>
              <a:ext uri="{FF2B5EF4-FFF2-40B4-BE49-F238E27FC236}">
                <a16:creationId xmlns:a16="http://schemas.microsoft.com/office/drawing/2014/main" id="{22F66578-EF31-AA8F-F011-07A209914305}"/>
              </a:ext>
            </a:extLst>
          </xdr:cNvPr>
          <xdr:cNvSpPr/>
        </xdr:nvSpPr>
        <xdr:spPr>
          <a:xfrm>
            <a:off x="1935489" y="441881"/>
            <a:ext cx="1668770" cy="245107"/>
          </a:xfrm>
          <a:prstGeom prst="rect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/>
              <a:t>1</a:t>
            </a:r>
            <a:r>
              <a:rPr lang="en-US" altLang="ko-KR" sz="1100" baseline="0"/>
              <a:t> 1 3 =&gt; YES</a:t>
            </a:r>
            <a:endParaRPr lang="ko-KR" altLang="en-US" sz="1100"/>
          </a:p>
        </xdr:txBody>
      </xdr:sp>
    </xdr:grp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510540</xdr:colOff>
      <xdr:row>1</xdr:row>
      <xdr:rowOff>78716</xdr:rowOff>
    </xdr:from>
    <xdr:to>
      <xdr:col>6</xdr:col>
      <xdr:colOff>472440</xdr:colOff>
      <xdr:row>8</xdr:row>
      <xdr:rowOff>133350</xdr:rowOff>
    </xdr:to>
    <xdr:pic>
      <xdr:nvPicPr>
        <xdr:cNvPr id="2" name="그림 1" descr="7ce7f2eba5731c8babe39036322897a0_1449816">
          <a:extLst>
            <a:ext uri="{FF2B5EF4-FFF2-40B4-BE49-F238E27FC236}">
              <a16:creationId xmlns:a16="http://schemas.microsoft.com/office/drawing/2014/main" id="{5A114D68-738F-4E1C-B803-FDF4FE9A0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307316"/>
          <a:ext cx="3387090" cy="1588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459106</xdr:colOff>
      <xdr:row>12</xdr:row>
      <xdr:rowOff>188595</xdr:rowOff>
    </xdr:from>
    <xdr:to>
      <xdr:col>27</xdr:col>
      <xdr:colOff>360046</xdr:colOff>
      <xdr:row>50</xdr:row>
      <xdr:rowOff>47624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76A69E3-C09F-4E2F-993E-253BEC3D40C9}"/>
            </a:ext>
          </a:extLst>
        </xdr:cNvPr>
        <xdr:cNvSpPr txBox="1"/>
      </xdr:nvSpPr>
      <xdr:spPr>
        <a:xfrm>
          <a:off x="7688581" y="2827020"/>
          <a:ext cx="7458075" cy="81857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[</a:t>
          </a:r>
          <a:r>
            <a:rPr lang="ko-KR" altLang="en-US" sz="1100"/>
            <a:t>해법 연구 </a:t>
          </a:r>
          <a:r>
            <a:rPr lang="en-US" altLang="ko-KR" sz="1100"/>
            <a:t>: naive]</a:t>
          </a:r>
        </a:p>
        <a:p>
          <a:r>
            <a:rPr lang="en-US" altLang="ko-KR" sz="1100"/>
            <a:t>* </a:t>
          </a:r>
          <a:r>
            <a:rPr lang="ko-KR" altLang="en-US" sz="1100"/>
            <a:t>가능한 모든 경우</a:t>
          </a:r>
          <a:r>
            <a:rPr lang="en-US" altLang="ko-KR" sz="1100"/>
            <a:t>(NC2)</a:t>
          </a:r>
          <a:r>
            <a:rPr lang="ko-KR" altLang="en-US" sz="1100"/>
            <a:t>에 대하여 시도해 볼수 있다</a:t>
          </a:r>
          <a:r>
            <a:rPr lang="en-US" altLang="ko-KR" sz="1100"/>
            <a:t>.</a:t>
          </a:r>
          <a:br>
            <a:rPr lang="en-US" altLang="ko-KR" sz="1100"/>
          </a:br>
          <a:r>
            <a:rPr lang="en-US" altLang="ko-KR" sz="1100"/>
            <a:t>   </a:t>
          </a:r>
          <a:r>
            <a:rPr lang="ko-KR" altLang="en-US" sz="1100"/>
            <a:t>위 오른쪽 표가 그 결과중 일부이다</a:t>
          </a:r>
          <a:r>
            <a:rPr lang="en-US" altLang="ko-KR" sz="1100"/>
            <a:t>.</a:t>
          </a:r>
        </a:p>
        <a:p>
          <a:r>
            <a:rPr lang="en-US" altLang="ko-KR" sz="1100"/>
            <a:t>   </a:t>
          </a:r>
          <a:r>
            <a:rPr lang="ko-KR" altLang="en-US" sz="1100"/>
            <a:t>시간복잡도 </a:t>
          </a:r>
          <a:r>
            <a:rPr lang="en-US" altLang="ko-KR" sz="1100"/>
            <a:t>O(N * N * N)</a:t>
          </a:r>
          <a:r>
            <a:rPr lang="ko-KR" altLang="en-US" sz="1100"/>
            <a:t>이 걸린다</a:t>
          </a:r>
          <a:r>
            <a:rPr lang="en-US" altLang="ko-KR" sz="1100"/>
            <a:t>.</a:t>
          </a:r>
        </a:p>
        <a:p>
          <a:r>
            <a:rPr lang="en-US" altLang="ko-KR" sz="1100"/>
            <a:t>   </a:t>
          </a:r>
          <a:r>
            <a:rPr lang="ko-KR" altLang="en-US" sz="1100"/>
            <a:t>효율적인 방법이 있을까</a:t>
          </a:r>
          <a:r>
            <a:rPr lang="en-US" altLang="ko-KR" sz="1100"/>
            <a:t>?</a:t>
          </a:r>
        </a:p>
        <a:p>
          <a:endParaRPr lang="en-US" altLang="ko-KR" sz="1100"/>
        </a:p>
        <a:p>
          <a:endParaRPr lang="en-US" altLang="ko-KR" sz="1100"/>
        </a:p>
        <a:p>
          <a:r>
            <a:rPr lang="en-US" altLang="ko-KR" sz="1100"/>
            <a:t>[</a:t>
          </a:r>
          <a:r>
            <a:rPr lang="ko-KR" altLang="en-US" sz="1100"/>
            <a:t>해법 연구 </a:t>
          </a:r>
          <a:r>
            <a:rPr lang="en-US" altLang="ko-KR" sz="1100"/>
            <a:t>: union find]</a:t>
          </a:r>
        </a:p>
        <a:p>
          <a:r>
            <a:rPr lang="en-US" altLang="ko-KR" sz="1100"/>
            <a:t>* </a:t>
          </a:r>
          <a:r>
            <a:rPr lang="ko-KR" altLang="en-US" sz="1100"/>
            <a:t>트리</a:t>
          </a:r>
          <a:r>
            <a:rPr lang="en-US" altLang="ko-KR" sz="1100"/>
            <a:t>(</a:t>
          </a:r>
          <a:r>
            <a:rPr lang="ko-KR" altLang="en-US" sz="1100"/>
            <a:t>중등</a:t>
          </a:r>
          <a:r>
            <a:rPr lang="en-US" altLang="ko-KR" sz="1100"/>
            <a:t>)</a:t>
          </a:r>
          <a:r>
            <a:rPr lang="ko-KR" altLang="en-US" sz="1100"/>
            <a:t>의 아이디어를 이 문제에 적용할 수 있을까</a:t>
          </a:r>
          <a:r>
            <a:rPr lang="en-US" altLang="ko-KR" sz="1100"/>
            <a:t>?</a:t>
          </a:r>
        </a:p>
        <a:p>
          <a:endParaRPr lang="en-US" altLang="ko-KR" sz="1100"/>
        </a:p>
        <a:p>
          <a:r>
            <a:rPr lang="en-US" altLang="ko-KR" sz="1100"/>
            <a:t>* </a:t>
          </a:r>
          <a:r>
            <a:rPr lang="ko-KR" altLang="en-US" sz="1100"/>
            <a:t>위표의 노란 음영 부분을 보자 비용이 </a:t>
          </a:r>
          <a:r>
            <a:rPr lang="en-US" altLang="ko-KR" sz="1100"/>
            <a:t>20</a:t>
          </a:r>
          <a:r>
            <a:rPr lang="ko-KR" altLang="en-US" sz="1100"/>
            <a:t>으로 모두 같다</a:t>
          </a:r>
          <a:r>
            <a:rPr lang="en-US" altLang="ko-KR" sz="1100"/>
            <a:t>.</a:t>
          </a:r>
        </a:p>
        <a:p>
          <a:r>
            <a:rPr lang="en-US" altLang="ko-KR" sz="1100"/>
            <a:t>    </a:t>
          </a:r>
          <a:r>
            <a:rPr lang="ko-KR" altLang="en-US" sz="1100"/>
            <a:t>비용이 같은 경우를 한꺼번에 처리할 수 있을까</a:t>
          </a:r>
          <a:r>
            <a:rPr lang="en-US" altLang="ko-KR" sz="1100"/>
            <a:t>?</a:t>
          </a:r>
        </a:p>
        <a:p>
          <a:r>
            <a:rPr lang="en-US" altLang="ko-KR" sz="1100"/>
            <a:t>* </a:t>
          </a:r>
          <a:r>
            <a:rPr lang="ko-KR" altLang="en-US" sz="1100"/>
            <a:t>간선의 가중치가 </a:t>
          </a:r>
          <a:r>
            <a:rPr lang="en-US" altLang="ko-KR" sz="1100"/>
            <a:t>15</a:t>
          </a:r>
          <a:r>
            <a:rPr lang="ko-KR" altLang="en-US" sz="1100"/>
            <a:t>인 경우를 사용하는 경우는 두 노드 </a:t>
          </a:r>
          <a:r>
            <a:rPr lang="en-US" altLang="ko-KR" sz="1100"/>
            <a:t>(3, 6)</a:t>
          </a:r>
          <a:r>
            <a:rPr lang="ko-KR" altLang="en-US" sz="1100"/>
            <a:t>인 경우 뿐이다</a:t>
          </a:r>
          <a:r>
            <a:rPr lang="en-US" altLang="ko-KR" sz="1100"/>
            <a:t>.</a:t>
          </a:r>
        </a:p>
        <a:p>
          <a:r>
            <a:rPr lang="en-US" altLang="ko-KR" sz="1100"/>
            <a:t>    </a:t>
          </a:r>
          <a:r>
            <a:rPr lang="ko-KR" altLang="en-US" sz="1100"/>
            <a:t>이 후 계산에서는  </a:t>
          </a:r>
          <a:r>
            <a:rPr lang="en-US" altLang="ko-KR" sz="1100"/>
            <a:t>15</a:t>
          </a:r>
          <a:r>
            <a:rPr lang="ko-KR" altLang="en-US" sz="1100"/>
            <a:t>인 간선은 사용되지 않는다</a:t>
          </a:r>
          <a:r>
            <a:rPr lang="en-US" altLang="ko-KR" sz="1100"/>
            <a:t>.</a:t>
          </a:r>
        </a:p>
        <a:p>
          <a:r>
            <a:rPr lang="en-US" altLang="ko-KR" sz="1100"/>
            <a:t>     </a:t>
          </a:r>
          <a:r>
            <a:rPr lang="ko-KR" altLang="en-US" sz="1100"/>
            <a:t>즉</a:t>
          </a:r>
          <a:r>
            <a:rPr lang="en-US" altLang="ko-KR" sz="1100"/>
            <a:t>, </a:t>
          </a:r>
          <a:r>
            <a:rPr lang="ko-KR" altLang="en-US" sz="1100"/>
            <a:t>두 노드</a:t>
          </a:r>
          <a:r>
            <a:rPr lang="en-US" altLang="ko-KR" sz="1100"/>
            <a:t>(3, 6) </a:t>
          </a:r>
          <a:r>
            <a:rPr lang="ko-KR" altLang="en-US" sz="1100"/>
            <a:t>사이 경로가 없도록 하는 비용은  전체 간선의 합 </a:t>
          </a:r>
          <a:r>
            <a:rPr lang="en-US" altLang="ko-KR" sz="1100"/>
            <a:t>45</a:t>
          </a:r>
          <a:r>
            <a:rPr lang="ko-KR" altLang="en-US" sz="1100"/>
            <a:t>이며</a:t>
          </a:r>
        </a:p>
        <a:p>
          <a:r>
            <a:rPr lang="ko-KR" altLang="en-US" sz="1100"/>
            <a:t>     이후에는 </a:t>
          </a:r>
          <a:r>
            <a:rPr lang="en-US" altLang="ko-KR" sz="1100"/>
            <a:t>45</a:t>
          </a:r>
          <a:r>
            <a:rPr lang="ko-KR" altLang="en-US" sz="1100"/>
            <a:t>에서 </a:t>
          </a:r>
          <a:r>
            <a:rPr lang="en-US" altLang="ko-KR" sz="1100"/>
            <a:t>15</a:t>
          </a:r>
          <a:r>
            <a:rPr lang="ko-KR" altLang="en-US" sz="1100"/>
            <a:t>를 제외한 </a:t>
          </a:r>
          <a:r>
            <a:rPr lang="en-US" altLang="ko-KR" sz="1100"/>
            <a:t>30</a:t>
          </a:r>
          <a:r>
            <a:rPr lang="ko-KR" altLang="en-US" sz="1100"/>
            <a:t>이하의 비용만이 필요하다</a:t>
          </a:r>
          <a:r>
            <a:rPr lang="en-US" altLang="ko-KR" sz="1100"/>
            <a:t>.</a:t>
          </a:r>
        </a:p>
        <a:p>
          <a:endParaRPr lang="en-US" altLang="ko-KR" sz="1100"/>
        </a:p>
        <a:p>
          <a:r>
            <a:rPr lang="en-US" altLang="ko-KR" sz="1100"/>
            <a:t>* </a:t>
          </a:r>
          <a:r>
            <a:rPr lang="ko-KR" altLang="en-US" sz="1100"/>
            <a:t>이제 간선의 가중치가 </a:t>
          </a:r>
          <a:r>
            <a:rPr lang="en-US" altLang="ko-KR" sz="1100"/>
            <a:t>10</a:t>
          </a:r>
          <a:r>
            <a:rPr lang="ko-KR" altLang="en-US" sz="1100"/>
            <a:t>인 경우를 사용하는 경우는 두 노드</a:t>
          </a:r>
          <a:r>
            <a:rPr lang="en-US" altLang="ko-KR" sz="1100"/>
            <a:t>(1, 2)</a:t>
          </a:r>
          <a:r>
            <a:rPr lang="ko-KR" altLang="en-US" sz="1100"/>
            <a:t>인 경우 뿐이다</a:t>
          </a:r>
          <a:r>
            <a:rPr lang="en-US" altLang="ko-KR" sz="1100"/>
            <a:t>.</a:t>
          </a:r>
        </a:p>
        <a:p>
          <a:r>
            <a:rPr lang="en-US" altLang="ko-KR" sz="1100"/>
            <a:t>    </a:t>
          </a:r>
          <a:r>
            <a:rPr lang="ko-KR" altLang="en-US" sz="1100"/>
            <a:t>이 후 계산에서는 </a:t>
          </a:r>
          <a:r>
            <a:rPr lang="en-US" altLang="ko-KR" sz="1100"/>
            <a:t>10</a:t>
          </a:r>
          <a:r>
            <a:rPr lang="ko-KR" altLang="en-US" sz="1100"/>
            <a:t>인 간선은 사용되지 않는다</a:t>
          </a:r>
          <a:r>
            <a:rPr lang="en-US" altLang="ko-KR" sz="1100"/>
            <a:t>.</a:t>
          </a:r>
        </a:p>
        <a:p>
          <a:r>
            <a:rPr lang="en-US" altLang="ko-KR" sz="1100"/>
            <a:t>     </a:t>
          </a:r>
          <a:r>
            <a:rPr lang="ko-KR" altLang="en-US" sz="1100"/>
            <a:t>즉</a:t>
          </a:r>
          <a:r>
            <a:rPr lang="en-US" altLang="ko-KR" sz="1100"/>
            <a:t>, </a:t>
          </a:r>
          <a:r>
            <a:rPr lang="ko-KR" altLang="en-US" sz="1100"/>
            <a:t>두 노드</a:t>
          </a:r>
          <a:r>
            <a:rPr lang="en-US" altLang="ko-KR" sz="1100"/>
            <a:t>(1, 2) </a:t>
          </a:r>
          <a:r>
            <a:rPr lang="ko-KR" altLang="en-US" sz="1100"/>
            <a:t>사이 경로가 없도록 하는 비용은  남은 간선의 합 </a:t>
          </a:r>
          <a:r>
            <a:rPr lang="en-US" altLang="ko-KR" sz="1100"/>
            <a:t>30</a:t>
          </a:r>
          <a:r>
            <a:rPr lang="ko-KR" altLang="en-US" sz="1100"/>
            <a:t>이며</a:t>
          </a:r>
        </a:p>
        <a:p>
          <a:r>
            <a:rPr lang="ko-KR" altLang="en-US" sz="1100"/>
            <a:t>     이후에는 </a:t>
          </a:r>
          <a:r>
            <a:rPr lang="en-US" altLang="ko-KR" sz="1100"/>
            <a:t>30</a:t>
          </a:r>
          <a:r>
            <a:rPr lang="ko-KR" altLang="en-US" sz="1100"/>
            <a:t>에서 </a:t>
          </a:r>
          <a:r>
            <a:rPr lang="en-US" altLang="ko-KR" sz="1100"/>
            <a:t>10</a:t>
          </a:r>
          <a:r>
            <a:rPr lang="ko-KR" altLang="en-US" sz="1100"/>
            <a:t>를 제외한 </a:t>
          </a:r>
          <a:r>
            <a:rPr lang="en-US" altLang="ko-KR" sz="1100"/>
            <a:t>20</a:t>
          </a:r>
          <a:r>
            <a:rPr lang="ko-KR" altLang="en-US" sz="1100"/>
            <a:t>이하의 비용만이 필요하다</a:t>
          </a:r>
          <a:r>
            <a:rPr lang="en-US" altLang="ko-KR" sz="1100"/>
            <a:t>.</a:t>
          </a:r>
        </a:p>
        <a:p>
          <a:endParaRPr lang="en-US" altLang="ko-KR" sz="1100"/>
        </a:p>
        <a:p>
          <a:r>
            <a:rPr lang="en-US" altLang="ko-KR" sz="1100"/>
            <a:t>* </a:t>
          </a:r>
          <a:r>
            <a:rPr lang="ko-KR" altLang="en-US" sz="1100"/>
            <a:t>간선 </a:t>
          </a:r>
          <a:r>
            <a:rPr lang="en-US" altLang="ko-KR" sz="1100"/>
            <a:t>(3, 6)</a:t>
          </a:r>
          <a:r>
            <a:rPr lang="ko-KR" altLang="en-US" sz="1100"/>
            <a:t>와 간선</a:t>
          </a:r>
          <a:r>
            <a:rPr lang="en-US" altLang="ko-KR" sz="1100"/>
            <a:t>(1, 2)</a:t>
          </a:r>
          <a:r>
            <a:rPr lang="ko-KR" altLang="en-US" sz="1100"/>
            <a:t>가 제거된 상태이다</a:t>
          </a:r>
          <a:r>
            <a:rPr lang="en-US" altLang="ko-KR" sz="1100"/>
            <a:t>.</a:t>
          </a:r>
        </a:p>
        <a:p>
          <a:r>
            <a:rPr lang="en-US" altLang="ko-KR" sz="1100"/>
            <a:t>   </a:t>
          </a:r>
          <a:r>
            <a:rPr lang="ko-KR" altLang="en-US" sz="1100"/>
            <a:t>이제 간선의 가중치가 </a:t>
          </a:r>
          <a:r>
            <a:rPr lang="en-US" altLang="ko-KR" sz="1100"/>
            <a:t>6</a:t>
          </a:r>
          <a:r>
            <a:rPr lang="ko-KR" altLang="en-US" sz="1100"/>
            <a:t>인 경우를 사용하는 경우는</a:t>
          </a:r>
          <a:r>
            <a:rPr lang="en-US" altLang="ko-KR" sz="1100"/>
            <a:t>(1, 3), (2, 3), (1, 6), (2, 6)</a:t>
          </a:r>
          <a:r>
            <a:rPr lang="ko-KR" altLang="en-US" sz="1100"/>
            <a:t>인 경우이다</a:t>
          </a:r>
          <a:r>
            <a:rPr lang="en-US" altLang="ko-KR" sz="1100"/>
            <a:t>.</a:t>
          </a:r>
        </a:p>
        <a:p>
          <a:r>
            <a:rPr lang="en-US" altLang="ko-KR" sz="1100"/>
            <a:t>   </a:t>
          </a:r>
          <a:r>
            <a:rPr lang="ko-KR" altLang="en-US" sz="1100"/>
            <a:t>위 표의 노란 음영을 보자</a:t>
          </a:r>
          <a:r>
            <a:rPr lang="en-US" altLang="ko-KR" sz="1100"/>
            <a:t>.</a:t>
          </a:r>
        </a:p>
        <a:p>
          <a:r>
            <a:rPr lang="en-US" altLang="ko-KR" sz="1100"/>
            <a:t>    </a:t>
          </a:r>
          <a:br>
            <a:rPr lang="en-US" altLang="ko-KR" sz="1100"/>
          </a:br>
          <a:r>
            <a:rPr lang="en-US" altLang="ko-KR" sz="1100"/>
            <a:t>   (3, 6)</a:t>
          </a:r>
          <a:r>
            <a:rPr lang="ko-KR" altLang="en-US" sz="1100"/>
            <a:t>을 그룹지어놓고 </a:t>
          </a:r>
          <a:r>
            <a:rPr lang="en-US" altLang="ko-KR" sz="1100"/>
            <a:t>(1, 2)</a:t>
          </a:r>
          <a:r>
            <a:rPr lang="ko-KR" altLang="en-US" sz="1100"/>
            <a:t>를 그룹지어 놓았다면  </a:t>
          </a:r>
        </a:p>
        <a:p>
          <a:r>
            <a:rPr lang="ko-KR" altLang="en-US" sz="1100"/>
            <a:t>   간선 </a:t>
          </a:r>
          <a:r>
            <a:rPr lang="en-US" altLang="ko-KR" sz="1100"/>
            <a:t>6</a:t>
          </a:r>
          <a:r>
            <a:rPr lang="ko-KR" altLang="en-US" sz="1100"/>
            <a:t>을 사용하는 경우를 한번에 계산할 수 있다</a:t>
          </a:r>
          <a:r>
            <a:rPr lang="en-US" altLang="ko-KR" sz="1100"/>
            <a:t>.</a:t>
          </a:r>
          <a:br>
            <a:rPr lang="en-US" altLang="ko-KR" sz="1100"/>
          </a:br>
          <a:r>
            <a:rPr lang="en-US" altLang="ko-KR" sz="1100"/>
            <a:t>   </a:t>
          </a:r>
        </a:p>
        <a:p>
          <a:r>
            <a:rPr lang="en-US" altLang="ko-KR" sz="1100"/>
            <a:t>  &lt; </a:t>
          </a:r>
          <a:r>
            <a:rPr lang="ko-KR" altLang="en-US" sz="1100"/>
            <a:t>이제 다음과 같은 해결 전략을 생각할 수 있다</a:t>
          </a:r>
          <a:r>
            <a:rPr lang="en-US" altLang="ko-KR" sz="1100"/>
            <a:t>. &gt;</a:t>
          </a:r>
        </a:p>
        <a:p>
          <a:r>
            <a:rPr lang="en-US" altLang="ko-KR" sz="1100"/>
            <a:t>  1)</a:t>
          </a:r>
          <a:r>
            <a:rPr lang="ko-KR" altLang="en-US" sz="1100"/>
            <a:t>입력받으면서 간선의 총합 </a:t>
          </a:r>
          <a:r>
            <a:rPr lang="en-US" altLang="ko-KR" sz="1100"/>
            <a:t>sum </a:t>
          </a:r>
          <a:r>
            <a:rPr lang="ko-KR" altLang="en-US" sz="1100"/>
            <a:t>을 구한다</a:t>
          </a:r>
          <a:r>
            <a:rPr lang="en-US" altLang="ko-KR" sz="1100"/>
            <a:t>.</a:t>
          </a:r>
        </a:p>
        <a:p>
          <a:r>
            <a:rPr lang="en-US" altLang="ko-KR" sz="1100"/>
            <a:t>  2) </a:t>
          </a:r>
          <a:r>
            <a:rPr lang="ko-KR" altLang="en-US" sz="1100"/>
            <a:t>각 노드를 자신의 번호로 그룹번호를 초기화 하고 </a:t>
          </a:r>
          <a:br>
            <a:rPr lang="ko-KR" altLang="en-US" sz="1100"/>
          </a:br>
          <a:r>
            <a:rPr lang="ko-KR" altLang="en-US" sz="1100"/>
            <a:t>       각 그룹의 개수를 </a:t>
          </a:r>
          <a:r>
            <a:rPr lang="en-US" altLang="ko-KR" sz="1100"/>
            <a:t>1</a:t>
          </a:r>
          <a:r>
            <a:rPr lang="ko-KR" altLang="en-US" sz="1100"/>
            <a:t>로 초기화 한다</a:t>
          </a:r>
          <a:r>
            <a:rPr lang="en-US" altLang="ko-KR" sz="1100"/>
            <a:t>.</a:t>
          </a:r>
        </a:p>
        <a:p>
          <a:r>
            <a:rPr lang="en-US" altLang="ko-KR" sz="1100"/>
            <a:t>  3) </a:t>
          </a:r>
          <a:r>
            <a:rPr lang="ko-KR" altLang="en-US" sz="1100"/>
            <a:t>입력 정보를 간선 가중치의 내림차순으로 정렬한다</a:t>
          </a:r>
          <a:r>
            <a:rPr lang="en-US" altLang="ko-KR" sz="1100"/>
            <a:t>.</a:t>
          </a:r>
        </a:p>
        <a:p>
          <a:r>
            <a:rPr lang="en-US" altLang="ko-KR" sz="1100"/>
            <a:t>  4) </a:t>
          </a:r>
          <a:r>
            <a:rPr lang="ko-KR" altLang="en-US" sz="1100"/>
            <a:t>정렬된 정보를 순회하며  </a:t>
          </a:r>
          <a:r>
            <a:rPr lang="en-US" altLang="ko-KR" sz="1100"/>
            <a:t>union find </a:t>
          </a:r>
          <a:r>
            <a:rPr lang="ko-KR" altLang="en-US" sz="1100"/>
            <a:t>알고리즘을 사용하여 답을 구한다</a:t>
          </a:r>
          <a:r>
            <a:rPr lang="en-US" altLang="ko-KR" sz="1100"/>
            <a:t>.</a:t>
          </a:r>
          <a:endParaRPr lang="ko-KR" altLang="en-US" sz="1100"/>
        </a:p>
      </xdr:txBody>
    </xdr:sp>
    <xdr:clientData/>
  </xdr:twoCellAnchor>
  <xdr:twoCellAnchor>
    <xdr:from>
      <xdr:col>4</xdr:col>
      <xdr:colOff>182880</xdr:colOff>
      <xdr:row>13</xdr:row>
      <xdr:rowOff>133350</xdr:rowOff>
    </xdr:from>
    <xdr:to>
      <xdr:col>4</xdr:col>
      <xdr:colOff>1221105</xdr:colOff>
      <xdr:row>21</xdr:row>
      <xdr:rowOff>40005</xdr:rowOff>
    </xdr:to>
    <xdr:sp macro="" textlink="">
      <xdr:nvSpPr>
        <xdr:cNvPr id="4" name="화살표: 오른쪽 3">
          <a:extLst>
            <a:ext uri="{FF2B5EF4-FFF2-40B4-BE49-F238E27FC236}">
              <a16:creationId xmlns:a16="http://schemas.microsoft.com/office/drawing/2014/main" id="{A3CBDF08-6F8A-4822-B372-D42BD30ECBCE}"/>
            </a:ext>
          </a:extLst>
        </xdr:cNvPr>
        <xdr:cNvSpPr/>
      </xdr:nvSpPr>
      <xdr:spPr>
        <a:xfrm>
          <a:off x="2381250" y="2987040"/>
          <a:ext cx="1040130" cy="1663065"/>
        </a:xfrm>
        <a:prstGeom prst="rightArrow">
          <a:avLst>
            <a:gd name="adj1" fmla="val 50000"/>
            <a:gd name="adj2" fmla="val 2897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cost</a:t>
          </a:r>
          <a:r>
            <a:rPr lang="ko-KR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의</a:t>
          </a:r>
          <a:endParaRPr lang="en-US" altLang="ko-KR" sz="11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ko-KR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오름차순</a:t>
          </a:r>
          <a:endParaRPr lang="en-US" altLang="ko-KR" sz="11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ko-KR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정렬</a:t>
          </a:r>
          <a:endParaRPr lang="en-US" altLang="ko-KR" sz="11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</xdr:row>
      <xdr:rowOff>53340</xdr:rowOff>
    </xdr:from>
    <xdr:to>
      <xdr:col>17</xdr:col>
      <xdr:colOff>320040</xdr:colOff>
      <xdr:row>54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C81258C-C960-4559-A126-AB5E6E180535}"/>
            </a:ext>
          </a:extLst>
        </xdr:cNvPr>
        <xdr:cNvSpPr txBox="1"/>
      </xdr:nvSpPr>
      <xdr:spPr>
        <a:xfrm>
          <a:off x="590550" y="281940"/>
          <a:ext cx="10911840" cy="116719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>
              <a:latin typeface="D2Coding" panose="020B0609020101020101" pitchFamily="49" charset="-127"/>
              <a:ea typeface="D2Coding" panose="020B0609020101020101" pitchFamily="49" charset="-127"/>
            </a:rPr>
            <a:t>[</a:t>
          </a:r>
          <a:r>
            <a:rPr lang="ko-KR" altLang="en-US" sz="1100" b="1">
              <a:latin typeface="D2Coding" panose="020B0609020101020101" pitchFamily="49" charset="-127"/>
              <a:ea typeface="D2Coding" panose="020B0609020101020101" pitchFamily="49" charset="-127"/>
            </a:rPr>
            <a:t>문제 개요</a:t>
          </a:r>
          <a:r>
            <a:rPr lang="en-US" altLang="ko-KR" sz="1100" b="1">
              <a:latin typeface="D2Coding" panose="020B0609020101020101" pitchFamily="49" charset="-127"/>
              <a:ea typeface="D2Coding" panose="020B0609020101020101" pitchFamily="49" charset="-127"/>
            </a:rPr>
            <a:t>]</a:t>
          </a:r>
        </a:p>
        <a:p>
          <a:pPr>
            <a:buNone/>
          </a:pPr>
          <a:r>
            <a:rPr lang="en-US" altLang="ko-KR" b="1">
              <a:solidFill>
                <a:srgbClr val="0000FF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void</a:t>
          </a:r>
          <a:r>
            <a:rPr lang="en-US" altLang="ko-KR" b="1">
              <a:latin typeface="D2Coding" panose="020B0609020101020101" pitchFamily="49" charset="-127"/>
              <a:ea typeface="D2Coding" panose="020B0609020101020101" pitchFamily="49" charset="-127"/>
            </a:rPr>
            <a:t> init(</a:t>
          </a:r>
          <a:r>
            <a:rPr lang="en-US" altLang="ko-KR" b="1">
              <a:solidFill>
                <a:srgbClr val="0000FF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int</a:t>
          </a:r>
          <a:r>
            <a:rPr lang="en-US" altLang="ko-KR" b="1">
              <a:latin typeface="D2Coding" panose="020B0609020101020101" pitchFamily="49" charset="-127"/>
              <a:ea typeface="D2Coding" panose="020B0609020101020101" pitchFamily="49" charset="-127"/>
            </a:rPr>
            <a:t> N, </a:t>
          </a:r>
          <a:r>
            <a:rPr lang="en-US" altLang="ko-KR" b="1">
              <a:solidFill>
                <a:srgbClr val="0000FF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int</a:t>
          </a:r>
          <a:r>
            <a:rPr lang="en-US" altLang="ko-KR" b="1">
              <a:latin typeface="D2Coding" panose="020B0609020101020101" pitchFamily="49" charset="-127"/>
              <a:ea typeface="D2Coding" panose="020B0609020101020101" pitchFamily="49" charset="-127"/>
            </a:rPr>
            <a:t> K, </a:t>
          </a:r>
          <a:r>
            <a:rPr lang="en-US" altLang="ko-KR" b="1">
              <a:solidFill>
                <a:srgbClr val="0000FF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int</a:t>
          </a:r>
          <a:r>
            <a:rPr lang="en-US" altLang="ko-KR" b="1">
              <a:latin typeface="D2Coding" panose="020B0609020101020101" pitchFamily="49" charset="-127"/>
              <a:ea typeface="D2Coding" panose="020B0609020101020101" pitchFamily="49" charset="-127"/>
            </a:rPr>
            <a:t> sCity[], </a:t>
          </a:r>
          <a:r>
            <a:rPr lang="en-US" altLang="ko-KR" b="1">
              <a:solidFill>
                <a:srgbClr val="0000FF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int</a:t>
          </a:r>
          <a:r>
            <a:rPr lang="en-US" altLang="ko-KR" b="1">
              <a:latin typeface="D2Coding" panose="020B0609020101020101" pitchFamily="49" charset="-127"/>
              <a:ea typeface="D2Coding" panose="020B0609020101020101" pitchFamily="49" charset="-127"/>
            </a:rPr>
            <a:t> eCity[], </a:t>
          </a:r>
          <a:r>
            <a:rPr lang="en-US" altLang="ko-KR" b="1">
              <a:solidFill>
                <a:srgbClr val="0000FF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int</a:t>
          </a:r>
          <a:r>
            <a:rPr lang="en-US" altLang="ko-KR" b="1">
              <a:latin typeface="D2Coding" panose="020B0609020101020101" pitchFamily="49" charset="-127"/>
              <a:ea typeface="D2Coding" panose="020B0609020101020101" pitchFamily="49" charset="-127"/>
            </a:rPr>
            <a:t> mLimit[]) : 1</a:t>
          </a:r>
          <a:r>
            <a:rPr lang="ko-KR" altLang="en-US" b="1">
              <a:latin typeface="D2Coding" panose="020B0609020101020101" pitchFamily="49" charset="-127"/>
              <a:ea typeface="D2Coding" panose="020B0609020101020101" pitchFamily="49" charset="-127"/>
            </a:rPr>
            <a:t>회 호출</a:t>
          </a:r>
          <a:endParaRPr lang="en-US" altLang="ko-KR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: N(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&lt;= 1000)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개의 도시와 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K( &lt;= 2000) 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개의 양방향 도로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, 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각 도로별 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mLimit[i](1~30000) 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이라하는 도로 하중 제한 값이 주어진다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pPr>
            <a:buNone/>
          </a:pPr>
          <a:r>
            <a:rPr lang="en-US" altLang="ko-KR" b="1">
              <a:solidFill>
                <a:srgbClr val="0000FF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void</a:t>
          </a:r>
          <a:r>
            <a:rPr lang="en-US" altLang="ko-KR" b="1">
              <a:latin typeface="D2Coding" panose="020B0609020101020101" pitchFamily="49" charset="-127"/>
              <a:ea typeface="D2Coding" panose="020B0609020101020101" pitchFamily="49" charset="-127"/>
            </a:rPr>
            <a:t> add(</a:t>
          </a:r>
          <a:r>
            <a:rPr lang="en-US" altLang="ko-KR" b="1">
              <a:solidFill>
                <a:srgbClr val="0000FF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int</a:t>
          </a:r>
          <a:r>
            <a:rPr lang="en-US" altLang="ko-KR" b="1">
              <a:latin typeface="D2Coding" panose="020B0609020101020101" pitchFamily="49" charset="-127"/>
              <a:ea typeface="D2Coding" panose="020B0609020101020101" pitchFamily="49" charset="-127"/>
            </a:rPr>
            <a:t> sCity, </a:t>
          </a:r>
          <a:r>
            <a:rPr lang="en-US" altLang="ko-KR" b="1">
              <a:solidFill>
                <a:srgbClr val="0000FF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int</a:t>
          </a:r>
          <a:r>
            <a:rPr lang="en-US" altLang="ko-KR" b="1">
              <a:latin typeface="D2Coding" panose="020B0609020101020101" pitchFamily="49" charset="-127"/>
              <a:ea typeface="D2Coding" panose="020B0609020101020101" pitchFamily="49" charset="-127"/>
            </a:rPr>
            <a:t> eCity, </a:t>
          </a:r>
          <a:r>
            <a:rPr lang="en-US" altLang="ko-KR" b="1">
              <a:solidFill>
                <a:srgbClr val="0000FF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int</a:t>
          </a:r>
          <a:r>
            <a:rPr lang="en-US" altLang="ko-KR" b="1">
              <a:latin typeface="D2Coding" panose="020B0609020101020101" pitchFamily="49" charset="-127"/>
              <a:ea typeface="D2Coding" panose="020B0609020101020101" pitchFamily="49" charset="-127"/>
            </a:rPr>
            <a:t> mLimit)</a:t>
          </a:r>
          <a:r>
            <a:rPr lang="en-US" altLang="ko-KR" b="0" baseline="0">
              <a:latin typeface="D2Coding" panose="020B0609020101020101" pitchFamily="49" charset="-127"/>
              <a:ea typeface="D2Coding" panose="020B0609020101020101" pitchFamily="49" charset="-127"/>
            </a:rPr>
            <a:t> </a:t>
          </a:r>
          <a:r>
            <a:rPr lang="en-US" altLang="ko-KR" sz="1100" b="1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: 1400</a:t>
          </a:r>
          <a:r>
            <a:rPr lang="ko-KR" altLang="en-US" sz="1100" b="1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회 호출</a:t>
          </a:r>
          <a:endParaRPr lang="en-US" altLang="ko-KR" sz="1100" b="1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pPr>
            <a:buNone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: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양방향 도로를 추가한다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pPr>
            <a:buNone/>
          </a:pPr>
          <a:r>
            <a:rPr lang="en-US" altLang="ko-KR" b="1">
              <a:solidFill>
                <a:srgbClr val="0000FF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int</a:t>
          </a:r>
          <a:r>
            <a:rPr lang="en-US" altLang="ko-KR" b="1">
              <a:latin typeface="D2Coding" panose="020B0609020101020101" pitchFamily="49" charset="-127"/>
              <a:ea typeface="D2Coding" panose="020B0609020101020101" pitchFamily="49" charset="-127"/>
            </a:rPr>
            <a:t> calculate(</a:t>
          </a:r>
          <a:r>
            <a:rPr lang="en-US" altLang="ko-KR" b="1">
              <a:solidFill>
                <a:srgbClr val="0000FF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int</a:t>
          </a:r>
          <a:r>
            <a:rPr lang="en-US" altLang="ko-KR" b="1">
              <a:latin typeface="D2Coding" panose="020B0609020101020101" pitchFamily="49" charset="-127"/>
              <a:ea typeface="D2Coding" panose="020B0609020101020101" pitchFamily="49" charset="-127"/>
            </a:rPr>
            <a:t> sCity, </a:t>
          </a:r>
          <a:r>
            <a:rPr lang="en-US" altLang="ko-KR" b="1">
              <a:solidFill>
                <a:srgbClr val="0000FF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int</a:t>
          </a:r>
          <a:r>
            <a:rPr lang="en-US" altLang="ko-KR" b="1">
              <a:latin typeface="D2Coding" panose="020B0609020101020101" pitchFamily="49" charset="-127"/>
              <a:ea typeface="D2Coding" panose="020B0609020101020101" pitchFamily="49" charset="-127"/>
            </a:rPr>
            <a:t> eCity, </a:t>
          </a:r>
          <a:r>
            <a:rPr lang="en-US" altLang="ko-KR" b="1">
              <a:solidFill>
                <a:srgbClr val="0000FF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int</a:t>
          </a:r>
          <a:r>
            <a:rPr lang="en-US" altLang="ko-KR" b="1">
              <a:latin typeface="D2Coding" panose="020B0609020101020101" pitchFamily="49" charset="-127"/>
              <a:ea typeface="D2Coding" panose="020B0609020101020101" pitchFamily="49" charset="-127"/>
            </a:rPr>
            <a:t> M, </a:t>
          </a:r>
          <a:r>
            <a:rPr lang="en-US" altLang="ko-KR" b="1">
              <a:solidFill>
                <a:srgbClr val="0000FF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int</a:t>
          </a:r>
          <a:r>
            <a:rPr lang="en-US" altLang="ko-KR" b="1">
              <a:latin typeface="D2Coding" panose="020B0609020101020101" pitchFamily="49" charset="-127"/>
              <a:ea typeface="D2Coding" panose="020B0609020101020101" pitchFamily="49" charset="-127"/>
            </a:rPr>
            <a:t> mStopover[])</a:t>
          </a:r>
          <a:r>
            <a:rPr lang="en-US" altLang="ko-KR" b="0" baseline="0">
              <a:latin typeface="D2Coding" panose="020B0609020101020101" pitchFamily="49" charset="-127"/>
              <a:ea typeface="D2Coding" panose="020B0609020101020101" pitchFamily="49" charset="-127"/>
            </a:rPr>
            <a:t> </a:t>
          </a:r>
          <a:r>
            <a:rPr lang="en-US" altLang="ko-KR" sz="1100" b="1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: 100</a:t>
          </a:r>
          <a:r>
            <a:rPr lang="ko-KR" altLang="en-US" sz="1100" b="1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회</a:t>
          </a:r>
          <a:endParaRPr lang="en-US" altLang="ko-KR" sz="1100" b="1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pPr>
            <a:buNone/>
          </a:pP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 : sCity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로부터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 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eCity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까지 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M(1~3)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개의 경유지를 거쳐 운송할 수 있는 화물의 최대 중량을 반환한다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pPr>
            <a:buNone/>
          </a:pP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     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운송할 수 없는 경우 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-1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을 반환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. </a:t>
          </a:r>
          <a:r>
            <a:rPr lang="en-US" altLang="ko-KR" sz="1100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sCity, eCity, M</a:t>
          </a:r>
          <a:r>
            <a:rPr lang="ko-KR" altLang="ko-KR" sz="1100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개의 경유지는 서로 다르다</a:t>
          </a:r>
          <a:r>
            <a:rPr lang="en-US" altLang="ko-KR" sz="1100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en-US" altLang="ko-KR" sz="1100" baseline="0">
            <a:latin typeface="D2Coding" panose="020B0609020101020101" pitchFamily="49" charset="-127"/>
            <a:ea typeface="D2Coding" panose="020B0609020101020101" pitchFamily="49" charset="-127"/>
          </a:endParaRPr>
        </a:p>
        <a:p>
          <a:pPr>
            <a:buNone/>
          </a:pPr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 b="1">
              <a:latin typeface="D2Coding" panose="020B0609020101020101" pitchFamily="49" charset="-127"/>
              <a:ea typeface="D2Coding" panose="020B0609020101020101" pitchFamily="49" charset="-127"/>
            </a:rPr>
            <a:t>[</a:t>
          </a:r>
          <a:r>
            <a:rPr lang="ko-KR" altLang="en-US" sz="1100" b="1">
              <a:latin typeface="D2Coding" panose="020B0609020101020101" pitchFamily="49" charset="-127"/>
              <a:ea typeface="D2Coding" panose="020B0609020101020101" pitchFamily="49" charset="-127"/>
            </a:rPr>
            <a:t>문제 분석</a:t>
          </a:r>
          <a:r>
            <a:rPr lang="en-US" altLang="ko-KR" sz="1100" b="1">
              <a:latin typeface="D2Coding" panose="020B0609020101020101" pitchFamily="49" charset="-127"/>
              <a:ea typeface="D2Coding" panose="020B0609020101020101" pitchFamily="49" charset="-127"/>
            </a:rPr>
            <a:t>]</a:t>
          </a:r>
        </a:p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1.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도시수는 최대 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1000.</a:t>
          </a:r>
        </a:p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2.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양방향 도로   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3400.</a:t>
          </a:r>
        </a:p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3. </a:t>
          </a:r>
          <a:r>
            <a:rPr lang="en-US" altLang="ko-KR" sz="110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sCity</a:t>
          </a:r>
          <a:r>
            <a:rPr lang="ko-KR" altLang="ko-KR" sz="110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로부터</a:t>
          </a:r>
          <a:r>
            <a:rPr lang="ko-KR" altLang="ko-KR" sz="1100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</a:t>
          </a:r>
          <a:r>
            <a:rPr lang="en-US" altLang="ko-KR" sz="1100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eCity</a:t>
          </a:r>
          <a:r>
            <a:rPr lang="ko-KR" altLang="ko-KR" sz="1100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까지</a:t>
          </a:r>
          <a:r>
            <a:rPr lang="en-US" altLang="ko-KR" sz="1100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M</a:t>
          </a:r>
          <a:r>
            <a:rPr lang="ko-KR" altLang="en-US" sz="1100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개의 경유지를 이용하여 이동하는데 사용된</a:t>
          </a:r>
          <a:br>
            <a:rPr lang="en-US" altLang="ko-KR" sz="1100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</a:br>
          <a:r>
            <a:rPr lang="en-US" altLang="ko-KR" sz="1100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</a:t>
          </a:r>
          <a:r>
            <a:rPr lang="ko-KR" altLang="en-US" sz="1100" b="1" baseline="0">
              <a:solidFill>
                <a:srgbClr val="FF0000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도로 하중 제한값의 최소값을 최대화</a:t>
          </a:r>
          <a:r>
            <a:rPr lang="ko-KR" altLang="en-US" sz="1100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하는 문제이다</a:t>
          </a:r>
          <a:r>
            <a:rPr lang="en-US" altLang="ko-KR" sz="1100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</a:t>
          </a:r>
          <a:r>
            <a:rPr lang="ko-KR" altLang="en-US" sz="1100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이동시 도로와 도시를 중복방문할 수 있다</a:t>
          </a:r>
          <a:r>
            <a:rPr lang="en-US" altLang="ko-KR" sz="1100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 b="1">
              <a:latin typeface="D2Coding" panose="020B0609020101020101" pitchFamily="49" charset="-127"/>
              <a:ea typeface="D2Coding" panose="020B0609020101020101" pitchFamily="49" charset="-127"/>
            </a:rPr>
            <a:t>[</a:t>
          </a:r>
          <a:r>
            <a:rPr lang="ko-KR" altLang="en-US" sz="1100" b="1">
              <a:latin typeface="D2Coding" panose="020B0609020101020101" pitchFamily="49" charset="-127"/>
              <a:ea typeface="D2Coding" panose="020B0609020101020101" pitchFamily="49" charset="-127"/>
            </a:rPr>
            <a:t>해결 전략</a:t>
          </a:r>
          <a:r>
            <a:rPr lang="en-US" altLang="ko-KR" sz="1100" b="1">
              <a:latin typeface="D2Coding" panose="020B0609020101020101" pitchFamily="49" charset="-127"/>
              <a:ea typeface="D2Coding" panose="020B0609020101020101" pitchFamily="49" charset="-127"/>
            </a:rPr>
            <a:t>1]</a:t>
          </a:r>
        </a:p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: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Sort + Union Find(Kruscal)</a:t>
          </a: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# init(), add() 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함수에서는 그래프를 구성한다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endParaRPr lang="en-US" altLang="ko-KR" sz="1100" baseline="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# calculate() 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함수가 호출되는 경우 다음 프로세스를 진행할 수 있다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 1. i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도시의 그룹번호를 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i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로 초기화 한다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 2. 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도로 정보 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{ sCity, eCity, mLimit } 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들을 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mLimit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의 내림차순으로 정렬한다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 3. 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도로 정보를 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mLimit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이 큰 값부터 순회하며 두 도시가 속한 그룹을 하나의 그룹으로 합친다</a:t>
          </a:r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 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sCity, eCity, M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개의 경유지가 모두 하나의 그룹으로 통일된 경우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mLimit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반환한다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4. eCity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에 도착하지 못하거나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개의 경유지를 방문할 수 없는 경우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-1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을 반환한다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en-US" altLang="ko-K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해결 전략</a:t>
          </a:r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2]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Prim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init(), add()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함수에서는 그래프를 구성한다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calculate()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함수가 호출되는 경우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Prim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알고리즘을 사용할 수 있다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Prim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알고리즘은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Dijkstra()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와 거의 유사하게 작동한다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차이나는 점을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relaxation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에서 출발지로부터의 거리가 아닌 현재 간선의 가중치로 업데이트된다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endParaRPr lang="en-US" altLang="ko-KR" sz="1100" baseline="0">
            <a:latin typeface="D2Coding" panose="020B0609020101020101" pitchFamily="49" charset="-127"/>
            <a:ea typeface="D2Coding" panose="020B0609020101020101" pitchFamily="49" charset="-127"/>
          </a:endParaRPr>
        </a:p>
        <a:p>
          <a:endParaRPr lang="en-US" altLang="ko-KR" sz="1100" baseline="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 b="1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[</a:t>
          </a:r>
          <a:r>
            <a:rPr lang="ko-KR" altLang="ko-KR" sz="1100" b="1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해결 전략</a:t>
          </a:r>
          <a:r>
            <a:rPr lang="en-US" altLang="ko-KR" sz="1100" b="1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3]</a:t>
          </a:r>
          <a:endParaRPr lang="ko-KR" altLang="ko-KR">
            <a:effectLst/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: Binary Search on</a:t>
          </a:r>
          <a:r>
            <a:rPr lang="en-US" altLang="ko-KR" sz="1100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the Answer</a:t>
          </a:r>
          <a:r>
            <a:rPr lang="en-US" altLang="ko-KR" sz="110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+ bfs / dfs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init(), add()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함수에서는 그래프를 구성한다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endParaRPr lang="en-US" altLang="ko-KR" sz="1100">
            <a:solidFill>
              <a:schemeClr val="dk1"/>
            </a:solidFill>
            <a:effectLst/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calculate()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함수가 호출되는 경우 다음 프로세스를 진행할 수 있다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  1. </a:t>
          </a: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답이 있다면 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1~30000 </a:t>
          </a: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범위에 존재한다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  2.</a:t>
          </a:r>
          <a:r>
            <a:rPr lang="en-US" altLang="ko-KR" baseline="0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 </a:t>
          </a: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이 성질을 이용하여 답</a:t>
          </a:r>
          <a:r>
            <a:rPr lang="en-US" altLang="ko-KR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(mLimit)</a:t>
          </a:r>
          <a:r>
            <a:rPr lang="ko-KR" altLang="en-US">
              <a:effectLst/>
              <a:latin typeface="D2Coding" panose="020B0609020101020101" pitchFamily="49" charset="-127"/>
              <a:ea typeface="D2Coding" panose="020B0609020101020101" pitchFamily="49" charset="-127"/>
            </a:rPr>
            <a:t>을 가정하고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sCity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로부터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BFS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로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eCity, M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개의 경유지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모두 방문가능한지 검토한다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(1)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가능하다면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mLimit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을 더 낮추어 본다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(2)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불가증하다면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mLimit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을 더 높여 본다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3.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답이 없다면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-1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을 반환한다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  <a:latin typeface="D2Coding" panose="020B0609020101020101" pitchFamily="49" charset="-127"/>
            <a:ea typeface="D2Coding" panose="020B0609020101020101" pitchFamily="49" charset="-127"/>
          </a:endParaRPr>
        </a:p>
        <a:p>
          <a:endParaRPr lang="en-US" altLang="ko-KR" sz="1100" baseline="0">
            <a:latin typeface="D2Coding" panose="020B0609020101020101" pitchFamily="49" charset="-127"/>
            <a:ea typeface="D2Coding" panose="020B0609020101020101" pitchFamily="49" charset="-127"/>
          </a:endParaRPr>
        </a:p>
        <a:p>
          <a:endParaRPr lang="en-US" altLang="ko-KR" sz="1100" baseline="0">
            <a:latin typeface="D2Coding" panose="020B0609020101020101" pitchFamily="49" charset="-127"/>
            <a:ea typeface="D2Coding" panose="020B0609020101020101" pitchFamily="49" charset="-127"/>
          </a:endParaRPr>
        </a:p>
      </xdr:txBody>
    </xdr:sp>
    <xdr:clientData/>
  </xdr:twoCellAnchor>
  <xdr:twoCellAnchor>
    <xdr:from>
      <xdr:col>10</xdr:col>
      <xdr:colOff>64770</xdr:colOff>
      <xdr:row>9</xdr:row>
      <xdr:rowOff>209550</xdr:rowOff>
    </xdr:from>
    <xdr:to>
      <xdr:col>15</xdr:col>
      <xdr:colOff>381000</xdr:colOff>
      <xdr:row>20</xdr:row>
      <xdr:rowOff>142875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E5DAC81-1319-0F49-0B72-BA163CBDC357}"/>
            </a:ext>
          </a:extLst>
        </xdr:cNvPr>
        <xdr:cNvGrpSpPr/>
      </xdr:nvGrpSpPr>
      <xdr:grpSpPr>
        <a:xfrm>
          <a:off x="6614408" y="2160436"/>
          <a:ext cx="3672592" cy="2304056"/>
          <a:chOff x="6579870" y="2190750"/>
          <a:chExt cx="3649980" cy="2343150"/>
        </a:xfrm>
      </xdr:grpSpPr>
      <xdr:pic>
        <xdr:nvPicPr>
          <xdr:cNvPr id="5" name="그림 4">
            <a:extLst>
              <a:ext uri="{FF2B5EF4-FFF2-40B4-BE49-F238E27FC236}">
                <a16:creationId xmlns:a16="http://schemas.microsoft.com/office/drawing/2014/main" id="{FABA2E4E-8714-4301-B904-343BD1A72BB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579870" y="2190750"/>
            <a:ext cx="3649980" cy="2037443"/>
          </a:xfrm>
          <a:prstGeom prst="rect">
            <a:avLst/>
          </a:prstGeom>
        </xdr:spPr>
      </xdr:pic>
      <xdr:sp macro="" textlink="">
        <xdr:nvSpPr>
          <xdr:cNvPr id="2" name="TextBox 1">
            <a:extLst>
              <a:ext uri="{FF2B5EF4-FFF2-40B4-BE49-F238E27FC236}">
                <a16:creationId xmlns:a16="http://schemas.microsoft.com/office/drawing/2014/main" id="{95D2AE69-4D6E-9943-DB28-97C23DF5E7D3}"/>
              </a:ext>
            </a:extLst>
          </xdr:cNvPr>
          <xdr:cNvSpPr txBox="1"/>
        </xdr:nvSpPr>
        <xdr:spPr>
          <a:xfrm>
            <a:off x="6829424" y="4269105"/>
            <a:ext cx="3227070" cy="26479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100"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sCity = 0, eCity = 4, </a:t>
            </a:r>
            <a:r>
              <a:rPr lang="ko-KR" altLang="en-US" sz="1100">
                <a:latin typeface="ADLaM Display" panose="02010000000000000000" pitchFamily="2" charset="0"/>
                <a:cs typeface="ADLaM Display" panose="02010000000000000000" pitchFamily="2" charset="0"/>
              </a:rPr>
              <a:t>경유도시 </a:t>
            </a:r>
            <a:r>
              <a:rPr lang="en-US" altLang="ko-KR" sz="1100"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{ 1, 3 } </a:t>
            </a:r>
            <a:r>
              <a:rPr lang="ko-KR" altLang="en-US" sz="1100">
                <a:latin typeface="ADLaM Display" panose="02010000000000000000" pitchFamily="2" charset="0"/>
                <a:cs typeface="ADLaM Display" panose="02010000000000000000" pitchFamily="2" charset="0"/>
              </a:rPr>
              <a:t>인 경우</a:t>
            </a:r>
          </a:p>
        </xdr:txBody>
      </xdr:sp>
    </xdr:grp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</xdr:row>
      <xdr:rowOff>76200</xdr:rowOff>
    </xdr:from>
    <xdr:to>
      <xdr:col>17</xdr:col>
      <xdr:colOff>323409</xdr:colOff>
      <xdr:row>149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7AD0A9A-5A19-42A0-B3C4-448B106AFBB0}"/>
            </a:ext>
          </a:extLst>
        </xdr:cNvPr>
        <xdr:cNvSpPr txBox="1"/>
      </xdr:nvSpPr>
      <xdr:spPr>
        <a:xfrm>
          <a:off x="609600" y="304800"/>
          <a:ext cx="10896159" cy="32423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문제 개요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]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1'000'000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개의 세균과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target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세균이 주어진다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세균은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id, size, color, direction, degree, shape, usedCode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속성을 갖는다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유저는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process()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에서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target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세균과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color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shape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가 같은 세균의 수를 찾아 메인에 반환한다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이때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아래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main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에서 정의된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API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함수를 이용할 수 있다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* main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API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void info(int coreIndex, int id);                                                                       1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점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, 버퍼에</a:t>
          </a:r>
          <a:r>
            <a:rPr lang="en-US" altLang="ko-K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기록함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(0, id, size, degree, color)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void rotate(int coreIndex, int id, int degree);                                              2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점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기록안함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, degree</a:t>
          </a:r>
          <a:r>
            <a:rPr lang="en-US" altLang="ko-K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변경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void scale(int coreIndex, int id, int scale);                                                    3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점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기록안함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크기 변경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void match(int coreIndex, int id);                                                                   5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점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, 버퍼에</a:t>
          </a:r>
          <a:r>
            <a:rPr lang="en-US" altLang="ko-K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기록함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(1, id, similarity(color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차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+shape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차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+size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차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+dir&amp;degree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차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) )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void gpu_process(int sharedBuffer[MAX_CORE][CORE_BUF_SIZE]);    10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점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기록된 내용을 유저에 전달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similarity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void result(int answer);                                                                                    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점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표적 세균과 색이 같고 모양이 같은세균수를 구하여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main.cpp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에 알림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* user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API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process()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를 이용하여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target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과 같은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germs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의 수를 반환</a:t>
          </a: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문제 분석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]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* target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과 같다는 것의 정의는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color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shape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만 같으면 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* target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과 같은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germ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의 수를 구하기 위하여 어떤 전략을 생각할 수 있을까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?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* target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color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shape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를 알고 있고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germs[]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color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shape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을 안다면</a:t>
          </a: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문제는 매우 쉬워진다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유저는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info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gpu_process()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를 이용하면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germs[id]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size, degree, color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를 알 수 있다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그러나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shape, direction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은 알수 없다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 target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color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shape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는 구체적으로 얼마인지 알 수 없다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 match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를 이용하여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similarity(=color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차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+shape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차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+size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차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+dir&amp;degree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차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을 알 수 있을뿐이다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* germ[i]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의 사이즈를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scale()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를 이용하여 변경할 수 있다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또한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germ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direction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rotate()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함수로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degree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를 조정하여 변경된 효과를 얻을 수 있다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이를 이용하여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match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similarity(=color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차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+shape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차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+size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차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+dir&amp;degree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차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에서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(size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차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+dir&amp;degree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차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를 생각하지</a:t>
          </a: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않도록 할 수 있다면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(germ[i]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size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를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target.size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과 같도록 하고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, germ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dir&amp;degree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를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target.dir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과 같도록 한다는 의미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)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  match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에서는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color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차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+ shape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차만 반환하는 것과 같게 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 </a:t>
          </a: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이들이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0 (color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의차도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이고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shape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의 차도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이라라는 말과 같다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이라면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target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과 같은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germ[i]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이라고 할 수 있다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  - germ[i]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size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를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target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size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와 같게 하기 위해 어떤 방법을 사용할 수 있을까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?</a:t>
          </a:r>
        </a:p>
        <a:p>
          <a:endParaRPr lang="en-US" altLang="ko-K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US" altLang="ko-K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[sketchCod 01]</a:t>
          </a:r>
        </a:p>
        <a:p>
          <a:r>
            <a:rPr lang="ko-KR" alt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원래 문제 그대로 문제를 풀기에는 너무 어렵다</a:t>
          </a:r>
          <a:r>
            <a:rPr lang="en-US" altLang="ko-K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문제의 제약조건의 유사도를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색상차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+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모양차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로 간소화하여 문제를 풀어볼수 있다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main.cpp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match()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함수에서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색상차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+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모양차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만 반환하는 경우라면</a:t>
          </a: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어떻게 해결 할 수 있을까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?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SCORE : 3200  =&gt;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조건을 축소했는데도 점수는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cut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를 초과한다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이유가 뭘까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?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ko-KR" altLang="ko-KR">
            <a:effectLst/>
          </a:endParaRP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[sketchCod 02]</a:t>
          </a:r>
          <a:endParaRPr lang="ko-KR" altLang="ko-KR">
            <a:effectLst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main.cpp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match()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함수에서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색상차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+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모양차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+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크기차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만 반환하는 경우라면</a:t>
          </a: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어떻게 해결 할 수 있을까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?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[target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세균의 크기 알아내기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]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grr[0]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세균의 크기를 얻고 이를 이용하여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target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세균의 크기를 알아낸다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세균의 크기는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0~9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범위이다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grr[0]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세균의 초기 크기를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a, target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세균의 크기를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b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라고 하자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1. grr[0]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세균의 크기에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-10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을 더하여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a - 10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으로 만든다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그러면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grr[0]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세균의 크기가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-1 ~ -10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이 되고 이는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b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보다 작다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이제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target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과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grr[0]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의 크기차는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|b - (a - 10)|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이고 되고 절대값을 없애면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b - a + 10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이 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따라서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simil1 = b - a + 10 + etc(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나머지차이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)    ---- ①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식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2. grr[0]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세균의 크기가 현재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a-10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이므로 여기에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을 더하여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a + 10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으로 만든다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그러면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grr[0]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세균의 크기가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10 ~ 19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가 되고 이는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b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보다 크다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이제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target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과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grr[0]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의 크기차는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|b - (a + 10)| == |(a + 10) - b|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이고 되고 절대값을 없애면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-b + a + 10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이 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따라서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simil2 = - b + a + 10 + etc(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나머지차이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)  ---- ②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식</a:t>
          </a: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3. ①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식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- ②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식 변변 수행한다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  simil1 - simil2 = 2b - 2a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  b = a + (simil1 - simil2) / 2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가 되어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target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의 크기를 구할 수 있다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SCORE: 3920 (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각도를 고려하지 않은 점수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)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FAIL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ko-KR" altLang="ko-KR">
            <a:effectLst/>
          </a:endParaRP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[sketchCod 03]</a:t>
          </a:r>
          <a:endParaRPr lang="ko-KR" altLang="ko-KR">
            <a:effectLst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이제 문제의 원래 제약조건의 유사도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색상차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+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모양차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+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크기차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+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각도차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로 문제를 풀어보자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어떻게 할 수 있을까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?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[target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세균의 크기 알아내기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]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grr[0]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세균의 크기를 얻고 이를 이용하여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target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세균의 크기를 알아낸다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세균의 크기는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0~9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범위이다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grr[0]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세균의 초기 크기를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a, target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세균의 크기를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b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라고 하자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1. grr[0]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세균의 크기에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-10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을 더하여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a - 10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으로 만든다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그러면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grr[0]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세균의 크기가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-1 ~ -10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이 되고 이는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b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보다 작다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이제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target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과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grr[0]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의 크기차는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|b - (a - 10)|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이고 되고 절대값을 없애면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b - a + 10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이 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따라서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simil1 = b - a + 10 + etc(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나머지 차이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)    ---- ①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식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2. grr[0]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세균의 크기가 현재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a-10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이므로 여기에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을 더하여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a + 10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으로 만든다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그러면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grr[0]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세균의 크기가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10 ~ 19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가 되고 이는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b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보다 크다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이제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target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과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grr[0]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의 크기차는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|b - (a + 10)| == |(a + 10) - b|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이고 되고 절대값을 없애면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-b + a + 10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이 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따라서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simil2 = - b + a + 10 + etc(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나머지 차이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)  ---- ②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식</a:t>
          </a: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3. ①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식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- ②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식 변변 수행한다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  simil1 - simil2 = 2b - 2a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  b = a + (simil1 - simil2) / 2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가 되어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target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의 크기를 구할 수 있다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각도차이를 고려대상에서 제외하는 방법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] :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오른쪽 그림참조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  grr[0]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과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target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match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결과를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ret1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이라고 하고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  grr[0]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의 각도를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180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증가시키고 얻은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match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결과를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ret2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라고 할때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  grr[0]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이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target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과 색 및 모양이 같다면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  ret1 + rest2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는 크기차*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 + 180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이 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SCORE: 8260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FAIL</a:t>
          </a:r>
          <a:endParaRPr lang="ko-KR" altLang="ko-KR">
            <a:effectLst/>
          </a:endParaRPr>
        </a:p>
        <a:p>
          <a:endParaRPr lang="ko-KR" altLang="ko-KR">
            <a:effectLst/>
          </a:endParaRPr>
        </a:p>
        <a:p>
          <a:endParaRPr lang="ko-KR" altLang="ko-KR">
            <a:effectLst/>
          </a:endParaRPr>
        </a:p>
        <a:p>
          <a:endParaRPr lang="en-US" altLang="ko-K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[</a:t>
          </a:r>
          <a:r>
            <a:rPr lang="ko-KR" alt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해법 연구</a:t>
          </a:r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1]</a:t>
          </a: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해법 연구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에서와 같이 모든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germ[]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을 대상으로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target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과 같은지 검사하지 않고 가능성이 있는 대상들만 검사하는 방법을 생각할 수있다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   target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size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를 구한 후 최초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target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과 같은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germ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을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16384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 단위로 찾아본다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이를 찾으면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target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color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를 알 수 있다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이후로 이를 이용하여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germ[i] == target.color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인 경우만을 대상으로 검사하는 작업을 수행할 수 있다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이 경우 약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SCORE: 1718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을 얻을 수 있다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</a:p>
        <a:p>
          <a:endParaRPr lang="en-US" altLang="ko-K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[</a:t>
          </a:r>
          <a:r>
            <a:rPr lang="ko-KR" alt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해법 연구</a:t>
          </a:r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2]</a:t>
          </a:r>
          <a:endParaRPr lang="ko-KR" alt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해법 연구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1]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과 같이 색이 같은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germ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만을 대상으로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match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를 시도하는데</a:t>
          </a: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첫 번째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match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결과에서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simil &lt;= 180 +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크기차 인 것으로 한정지어 탐색범위를 더 축소할 수 있다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이 경우 약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SCORE: 1608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을 얻을 수 있다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[</a:t>
          </a:r>
          <a:r>
            <a:rPr lang="ko-KR" alt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해법 연구</a:t>
          </a:r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3]</a:t>
          </a:r>
          <a:endParaRPr lang="ko-KR" alt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해법 연구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2]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과 같이 진행하는데 첫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16384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개에 대해서는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germ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info()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를 얻는 첫 단계부터 같은 색 찾기를 시도하는 것이다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이경우 한 번의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gpu_process()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호출비용이 절약되므로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TC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당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점이 절약되어</a:t>
          </a: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약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SCORE: 1508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점을 얻을 수 있다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</a:p>
        <a:p>
          <a:endParaRPr lang="en-US" altLang="ko-K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US" altLang="ko-K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고찰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]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germ[i]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color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인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16384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개에 대하여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match-rotate-match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를 수행한 결과 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similarity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가 최소인 값이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target.color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가 될 가능성이 높다고 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(solving talk: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해적 님 글을 보면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target.color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가 아닐 가능성이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억분의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확률이라고 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.)</a:t>
          </a: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이를 이용한 문제 해결을 생각해 볼 수 있다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후기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]</a:t>
          </a: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합격 컷은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seed = 5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일때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1804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점인 분이 합격하셨다고 함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/>
        </a:p>
      </xdr:txBody>
    </xdr:sp>
    <xdr:clientData/>
  </xdr:twoCellAnchor>
  <xdr:twoCellAnchor>
    <xdr:from>
      <xdr:col>9</xdr:col>
      <xdr:colOff>95523</xdr:colOff>
      <xdr:row>95</xdr:row>
      <xdr:rowOff>161653</xdr:rowOff>
    </xdr:from>
    <xdr:to>
      <xdr:col>14</xdr:col>
      <xdr:colOff>627020</xdr:colOff>
      <xdr:row>108</xdr:row>
      <xdr:rowOff>163287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52A1438B-5B82-4F9F-B2D9-AE9176816030}"/>
            </a:ext>
          </a:extLst>
        </xdr:cNvPr>
        <xdr:cNvGrpSpPr/>
      </xdr:nvGrpSpPr>
      <xdr:grpSpPr>
        <a:xfrm>
          <a:off x="5985335" y="21461794"/>
          <a:ext cx="3893261" cy="2915164"/>
          <a:chOff x="7162799" y="14297025"/>
          <a:chExt cx="3981452" cy="2781300"/>
        </a:xfrm>
      </xdr:grpSpPr>
      <xdr:sp macro="" textlink="">
        <xdr:nvSpPr>
          <xdr:cNvPr id="4" name="타원 3">
            <a:extLst>
              <a:ext uri="{FF2B5EF4-FFF2-40B4-BE49-F238E27FC236}">
                <a16:creationId xmlns:a16="http://schemas.microsoft.com/office/drawing/2014/main" id="{E4DDEA70-1F73-7328-6919-D01B9D620E3C}"/>
              </a:ext>
            </a:extLst>
          </xdr:cNvPr>
          <xdr:cNvSpPr/>
        </xdr:nvSpPr>
        <xdr:spPr>
          <a:xfrm>
            <a:off x="8667750" y="15116175"/>
            <a:ext cx="962025" cy="962025"/>
          </a:xfrm>
          <a:prstGeom prst="ellipse">
            <a:avLst/>
          </a:prstGeom>
          <a:noFill/>
          <a:ln w="38100"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5" name="직선 화살표 연결선 4">
            <a:extLst>
              <a:ext uri="{FF2B5EF4-FFF2-40B4-BE49-F238E27FC236}">
                <a16:creationId xmlns:a16="http://schemas.microsoft.com/office/drawing/2014/main" id="{B250F374-C227-7EDF-E096-57D9F2B42629}"/>
              </a:ext>
            </a:extLst>
          </xdr:cNvPr>
          <xdr:cNvCxnSpPr/>
        </xdr:nvCxnSpPr>
        <xdr:spPr>
          <a:xfrm>
            <a:off x="9144000" y="15621000"/>
            <a:ext cx="1323975" cy="133350"/>
          </a:xfrm>
          <a:prstGeom prst="straightConnector1">
            <a:avLst/>
          </a:prstGeom>
          <a:ln w="38100">
            <a:solidFill>
              <a:schemeClr val="accent2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화살표 연결선 5">
            <a:extLst>
              <a:ext uri="{FF2B5EF4-FFF2-40B4-BE49-F238E27FC236}">
                <a16:creationId xmlns:a16="http://schemas.microsoft.com/office/drawing/2014/main" id="{F6D14AD2-ED3A-89B9-D8DB-F7FEDEF00E51}"/>
              </a:ext>
            </a:extLst>
          </xdr:cNvPr>
          <xdr:cNvCxnSpPr/>
        </xdr:nvCxnSpPr>
        <xdr:spPr>
          <a:xfrm flipV="1">
            <a:off x="9124950" y="14573250"/>
            <a:ext cx="1409700" cy="1057275"/>
          </a:xfrm>
          <a:prstGeom prst="straightConnector1">
            <a:avLst/>
          </a:prstGeom>
          <a:ln w="38100">
            <a:solidFill>
              <a:schemeClr val="accent5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직선 화살표 연결선 6">
            <a:extLst>
              <a:ext uri="{FF2B5EF4-FFF2-40B4-BE49-F238E27FC236}">
                <a16:creationId xmlns:a16="http://schemas.microsoft.com/office/drawing/2014/main" id="{33DD3639-0DC7-AF70-103E-A51453A4D658}"/>
              </a:ext>
            </a:extLst>
          </xdr:cNvPr>
          <xdr:cNvCxnSpPr/>
        </xdr:nvCxnSpPr>
        <xdr:spPr>
          <a:xfrm rot="10800000" flipV="1">
            <a:off x="7734300" y="15611475"/>
            <a:ext cx="1409700" cy="1057275"/>
          </a:xfrm>
          <a:prstGeom prst="straightConnector1">
            <a:avLst/>
          </a:prstGeom>
          <a:ln w="38100">
            <a:solidFill>
              <a:schemeClr val="accent5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8463EB69-9F2F-D713-5AE6-BD7367A5070A}"/>
              </a:ext>
            </a:extLst>
          </xdr:cNvPr>
          <xdr:cNvSpPr txBox="1"/>
        </xdr:nvSpPr>
        <xdr:spPr>
          <a:xfrm>
            <a:off x="10544175" y="15544800"/>
            <a:ext cx="419100" cy="3619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100"/>
              <a:t>b</a:t>
            </a:r>
            <a:endParaRPr lang="ko-KR" altLang="en-US" sz="1100"/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B7448010-C374-11B6-7900-C46D62C2A660}"/>
              </a:ext>
            </a:extLst>
          </xdr:cNvPr>
          <xdr:cNvSpPr txBox="1"/>
        </xdr:nvSpPr>
        <xdr:spPr>
          <a:xfrm>
            <a:off x="10582275" y="14297025"/>
            <a:ext cx="419100" cy="3619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100"/>
              <a:t>a</a:t>
            </a:r>
            <a:endParaRPr lang="ko-KR" altLang="en-US" sz="1100"/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4ED374C0-15D9-CD8C-CECF-3CFF2E0F625A}"/>
              </a:ext>
            </a:extLst>
          </xdr:cNvPr>
          <xdr:cNvSpPr txBox="1"/>
        </xdr:nvSpPr>
        <xdr:spPr>
          <a:xfrm>
            <a:off x="8267700" y="14820901"/>
            <a:ext cx="657226" cy="3048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100"/>
              <a:t>180</a:t>
            </a:r>
            <a:endParaRPr lang="ko-KR" altLang="en-US" sz="1100"/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7DAD4500-5DFB-3127-D8A4-FD5D24C0E5AB}"/>
              </a:ext>
            </a:extLst>
          </xdr:cNvPr>
          <xdr:cNvSpPr txBox="1"/>
        </xdr:nvSpPr>
        <xdr:spPr>
          <a:xfrm>
            <a:off x="7162799" y="16706850"/>
            <a:ext cx="847725" cy="3714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100"/>
              <a:t>a+180</a:t>
            </a:r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EB9AF01B-EF45-8F97-BFAE-7586EA0F944B}"/>
              </a:ext>
            </a:extLst>
          </xdr:cNvPr>
          <xdr:cNvSpPr txBox="1"/>
        </xdr:nvSpPr>
        <xdr:spPr>
          <a:xfrm>
            <a:off x="8839199" y="16240126"/>
            <a:ext cx="1066801" cy="3048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100"/>
              <a:t>|b - (a+180)|</a:t>
            </a:r>
            <a:endParaRPr lang="ko-KR" altLang="en-US" sz="1100"/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E5CBE4E-8B85-C58A-CC91-596261882813}"/>
              </a:ext>
            </a:extLst>
          </xdr:cNvPr>
          <xdr:cNvSpPr txBox="1"/>
        </xdr:nvSpPr>
        <xdr:spPr>
          <a:xfrm>
            <a:off x="10487025" y="14906626"/>
            <a:ext cx="657226" cy="3048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100"/>
              <a:t>|b - a|</a:t>
            </a:r>
            <a:endParaRPr lang="ko-KR" altLang="en-US" sz="1100"/>
          </a:p>
        </xdr:txBody>
      </xdr:sp>
      <xdr:cxnSp macro="">
        <xdr:nvCxnSpPr>
          <xdr:cNvPr id="14" name="직선 화살표 연결선 13">
            <a:extLst>
              <a:ext uri="{FF2B5EF4-FFF2-40B4-BE49-F238E27FC236}">
                <a16:creationId xmlns:a16="http://schemas.microsoft.com/office/drawing/2014/main" id="{CA34EA69-E426-DB6F-452B-A2CD513E0368}"/>
              </a:ext>
            </a:extLst>
          </xdr:cNvPr>
          <xdr:cNvCxnSpPr>
            <a:stCxn id="4" idx="4"/>
            <a:endCxn id="12" idx="0"/>
          </xdr:cNvCxnSpPr>
        </xdr:nvCxnSpPr>
        <xdr:spPr>
          <a:xfrm>
            <a:off x="9148763" y="16078200"/>
            <a:ext cx="223837" cy="161926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직선 화살표 연결선 14">
            <a:extLst>
              <a:ext uri="{FF2B5EF4-FFF2-40B4-BE49-F238E27FC236}">
                <a16:creationId xmlns:a16="http://schemas.microsoft.com/office/drawing/2014/main" id="{EB54DE16-F588-40D5-A363-D211F5943870}"/>
              </a:ext>
            </a:extLst>
          </xdr:cNvPr>
          <xdr:cNvCxnSpPr>
            <a:cxnSpLocks/>
            <a:endCxn id="13" idx="1"/>
          </xdr:cNvCxnSpPr>
        </xdr:nvCxnSpPr>
        <xdr:spPr>
          <a:xfrm flipV="1">
            <a:off x="9563100" y="15059026"/>
            <a:ext cx="923925" cy="419099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247651</xdr:colOff>
      <xdr:row>1</xdr:row>
      <xdr:rowOff>53339</xdr:rowOff>
    </xdr:from>
    <xdr:to>
      <xdr:col>10</xdr:col>
      <xdr:colOff>571501</xdr:colOff>
      <xdr:row>51</xdr:row>
      <xdr:rowOff>180974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D3D3CB3-2DD5-466C-B3E4-203C04E08B26}"/>
            </a:ext>
          </a:extLst>
        </xdr:cNvPr>
        <xdr:cNvSpPr txBox="1"/>
      </xdr:nvSpPr>
      <xdr:spPr>
        <a:xfrm>
          <a:off x="914401" y="281939"/>
          <a:ext cx="6324600" cy="110813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b="1"/>
            <a:t>[</a:t>
          </a:r>
          <a:r>
            <a:rPr lang="ko-KR" altLang="en-US" b="1"/>
            <a:t>문제 구조</a:t>
          </a:r>
          <a:r>
            <a:rPr lang="en-US" altLang="ko-KR" b="1"/>
            <a:t>]</a:t>
          </a:r>
          <a:endParaRPr lang="ko-KR" altLang="en-US"/>
        </a:p>
        <a:p>
          <a:r>
            <a:rPr lang="en-US" altLang="ko-KR"/>
            <a:t>1. TC</a:t>
          </a:r>
          <a:r>
            <a:rPr lang="ko-KR" altLang="en-US"/>
            <a:t>가 </a:t>
          </a:r>
          <a:r>
            <a:rPr lang="en-US" altLang="ko-KR"/>
            <a:t>10</a:t>
          </a:r>
          <a:r>
            <a:rPr lang="ko-KR" altLang="en-US"/>
            <a:t>개이다</a:t>
          </a:r>
          <a:r>
            <a:rPr lang="en-US" altLang="ko-KR"/>
            <a:t>. : TC</a:t>
          </a:r>
          <a:r>
            <a:rPr lang="ko-KR" altLang="en-US"/>
            <a:t>별 새로운 데이터를 사용한다</a:t>
          </a:r>
          <a:r>
            <a:rPr lang="en-US" altLang="ko-KR"/>
            <a:t>.</a:t>
          </a:r>
        </a:p>
        <a:p>
          <a:r>
            <a:rPr lang="en-US" altLang="ko-KR"/>
            <a:t>2. batch processing </a:t>
          </a:r>
          <a:r>
            <a:rPr lang="ko-KR" altLang="en-US"/>
            <a:t>문제이다</a:t>
          </a:r>
          <a:r>
            <a:rPr lang="en-US" altLang="ko-KR"/>
            <a:t>.</a:t>
          </a:r>
        </a:p>
        <a:p>
          <a:r>
            <a:rPr lang="en-US" altLang="ko-KR"/>
            <a:t>3. </a:t>
          </a:r>
          <a:r>
            <a:rPr lang="ko-KR" altLang="en-US"/>
            <a:t>가능한 점수가 높아야 한다</a:t>
          </a:r>
          <a:r>
            <a:rPr lang="en-US" altLang="ko-KR"/>
            <a:t>.</a:t>
          </a:r>
        </a:p>
        <a:p>
          <a:endParaRPr lang="en-US" altLang="ko-KR"/>
        </a:p>
        <a:p>
          <a:endParaRPr lang="en-US" altLang="ko-KR"/>
        </a:p>
        <a:p>
          <a:r>
            <a:rPr lang="en-US" altLang="ko-KR" b="1"/>
            <a:t>[</a:t>
          </a:r>
          <a:r>
            <a:rPr lang="ko-KR" altLang="en-US" b="1"/>
            <a:t>문제 개요</a:t>
          </a:r>
          <a:r>
            <a:rPr lang="en-US" altLang="ko-KR" b="1"/>
            <a:t>]</a:t>
          </a:r>
          <a:endParaRPr lang="ko-KR" altLang="en-US"/>
        </a:p>
        <a:p>
          <a:r>
            <a:rPr lang="en-US" altLang="ko-KR"/>
            <a:t>1000*1000 </a:t>
          </a:r>
          <a:r>
            <a:rPr lang="ko-KR" altLang="en-US"/>
            <a:t>크기의 행성이 주어진다</a:t>
          </a:r>
          <a:r>
            <a:rPr lang="en-US" altLang="ko-KR"/>
            <a:t>.</a:t>
          </a:r>
        </a:p>
        <a:p>
          <a:r>
            <a:rPr lang="ko-KR" altLang="en-US"/>
            <a:t>각셀</a:t>
          </a:r>
          <a:r>
            <a:rPr lang="en-US" altLang="ko-KR"/>
            <a:t>(</a:t>
          </a:r>
          <a:r>
            <a:rPr lang="ko-KR" altLang="en-US"/>
            <a:t>행성 바닥 단위</a:t>
          </a:r>
          <a:r>
            <a:rPr lang="en-US" altLang="ko-KR"/>
            <a:t>)</a:t>
          </a:r>
          <a:r>
            <a:rPr lang="ko-KR" altLang="en-US"/>
            <a:t>의 높이는 </a:t>
          </a:r>
          <a:r>
            <a:rPr lang="en-US" altLang="ko-KR"/>
            <a:t>0~124</a:t>
          </a:r>
          <a:r>
            <a:rPr lang="ko-KR" altLang="en-US"/>
            <a:t>이다</a:t>
          </a:r>
          <a:r>
            <a:rPr lang="en-US" altLang="ko-KR"/>
            <a:t>.</a:t>
          </a:r>
        </a:p>
        <a:p>
          <a:r>
            <a:rPr lang="ko-KR" altLang="en-US"/>
            <a:t>우주선은 세로길이</a:t>
          </a:r>
          <a:r>
            <a:rPr lang="en-US" altLang="ko-KR"/>
            <a:t>(2~5)*</a:t>
          </a:r>
          <a:r>
            <a:rPr lang="ko-KR" altLang="en-US"/>
            <a:t>가로길이</a:t>
          </a:r>
          <a:r>
            <a:rPr lang="en-US" altLang="ko-KR"/>
            <a:t>(2~5) </a:t>
          </a:r>
          <a:r>
            <a:rPr lang="ko-KR" altLang="en-US"/>
            <a:t>속성을 가지면며 </a:t>
          </a:r>
          <a:r>
            <a:rPr lang="en-US" altLang="ko-KR"/>
            <a:t>10000</a:t>
          </a:r>
          <a:r>
            <a:rPr lang="ko-KR" altLang="en-US"/>
            <a:t>대가 주어진다</a:t>
          </a:r>
          <a:r>
            <a:rPr lang="en-US" altLang="ko-KR"/>
            <a:t>.</a:t>
          </a:r>
        </a:p>
        <a:p>
          <a:r>
            <a:rPr lang="ko-KR" altLang="en-US"/>
            <a:t>우주선의 </a:t>
          </a:r>
          <a:r>
            <a:rPr lang="en-US" altLang="ko-KR"/>
            <a:t>4</a:t>
          </a:r>
          <a:r>
            <a:rPr lang="ko-KR" altLang="en-US"/>
            <a:t>모서리에 다리는 </a:t>
          </a:r>
          <a:r>
            <a:rPr lang="en-US" altLang="ko-KR"/>
            <a:t>125 ~ 131</a:t>
          </a:r>
          <a:r>
            <a:rPr lang="ko-KR" altLang="en-US"/>
            <a:t>로 조정가능하도록 주어진다</a:t>
          </a:r>
          <a:r>
            <a:rPr lang="en-US" altLang="ko-KR"/>
            <a:t>.</a:t>
          </a:r>
        </a:p>
        <a:p>
          <a:r>
            <a:rPr lang="ko-KR" altLang="en-US"/>
            <a:t>따라서 우주선의 다리가 놓이는 행성바닥셀 </a:t>
          </a:r>
          <a:r>
            <a:rPr lang="en-US" altLang="ko-KR"/>
            <a:t>4</a:t>
          </a:r>
          <a:r>
            <a:rPr lang="ko-KR" altLang="en-US"/>
            <a:t>곳이</a:t>
          </a:r>
        </a:p>
        <a:p>
          <a:r>
            <a:rPr lang="ko-KR" altLang="en-US"/>
            <a:t>조정범위 이내에 높이</a:t>
          </a:r>
          <a:r>
            <a:rPr lang="en-US" altLang="ko-KR"/>
            <a:t>(4</a:t>
          </a:r>
          <a:r>
            <a:rPr lang="ko-KR" altLang="en-US"/>
            <a:t>모서리 행성의 최대높이</a:t>
          </a:r>
          <a:r>
            <a:rPr lang="en-US" altLang="ko-KR"/>
            <a:t>-</a:t>
          </a:r>
          <a:r>
            <a:rPr lang="ko-KR" altLang="en-US"/>
            <a:t>최소높이 </a:t>
          </a:r>
          <a:r>
            <a:rPr lang="en-US" altLang="ko-KR"/>
            <a:t>&lt;= 6)</a:t>
          </a:r>
          <a:r>
            <a:rPr lang="ko-KR" altLang="en-US"/>
            <a:t>라면 착륙할 수 있다</a:t>
          </a:r>
          <a:r>
            <a:rPr lang="en-US" altLang="ko-KR"/>
            <a:t>.</a:t>
          </a:r>
        </a:p>
        <a:p>
          <a:r>
            <a:rPr lang="ko-KR" altLang="en-US"/>
            <a:t>또한 행성 범위를 벗어나지 않아야 하며 착륙하는 구간에 다른 우주선이 착륙한 적이 없어야 한다</a:t>
          </a:r>
          <a:r>
            <a:rPr lang="en-US" altLang="ko-KR"/>
            <a:t>.</a:t>
          </a:r>
        </a:p>
        <a:p>
          <a:r>
            <a:rPr lang="en-US" altLang="ko-KR"/>
            <a:t>[</a:t>
          </a:r>
          <a:r>
            <a:rPr lang="ko-KR" altLang="en-US"/>
            <a:t>점수 계산</a:t>
          </a:r>
          <a:r>
            <a:rPr lang="en-US" altLang="ko-KR"/>
            <a:t>]</a:t>
          </a:r>
        </a:p>
        <a:p>
          <a:r>
            <a:rPr lang="en-US" altLang="ko-KR"/>
            <a:t>  : </a:t>
          </a:r>
          <a:r>
            <a:rPr lang="ko-KR" altLang="en-US"/>
            <a:t>점수는 착륙한 우주선의 세로길이*가로길이*</a:t>
          </a:r>
          <a:r>
            <a:rPr lang="en-US" altLang="ko-KR"/>
            <a:t>min(</a:t>
          </a:r>
          <a:r>
            <a:rPr lang="ko-KR" altLang="en-US"/>
            <a:t>세로길이</a:t>
          </a:r>
          <a:r>
            <a:rPr lang="en-US" altLang="ko-KR"/>
            <a:t>, </a:t>
          </a:r>
          <a:r>
            <a:rPr lang="ko-KR" altLang="en-US"/>
            <a:t>가로길이</a:t>
          </a:r>
          <a:r>
            <a:rPr lang="en-US" altLang="ko-KR"/>
            <a:t>)</a:t>
          </a:r>
          <a:r>
            <a:rPr lang="ko-KR" altLang="en-US"/>
            <a:t>의 합들로 계산된다</a:t>
          </a:r>
          <a:r>
            <a:rPr lang="en-US" altLang="ko-KR"/>
            <a:t>.</a:t>
          </a:r>
        </a:p>
        <a:p>
          <a:endParaRPr lang="en-US" altLang="ko-KR"/>
        </a:p>
        <a:p>
          <a:endParaRPr lang="en-US" altLang="ko-KR"/>
        </a:p>
        <a:p>
          <a:r>
            <a:rPr lang="en-US" altLang="ko-KR" b="1"/>
            <a:t>[API </a:t>
          </a:r>
          <a:r>
            <a:rPr lang="ko-KR" altLang="en-US" b="1"/>
            <a:t>함수</a:t>
          </a:r>
          <a:r>
            <a:rPr lang="en-US" altLang="ko-KR" b="1"/>
            <a:t>]</a:t>
          </a:r>
          <a:endParaRPr lang="ko-KR" altLang="en-US"/>
        </a:p>
        <a:p>
          <a:r>
            <a:rPr lang="ko-KR" altLang="en-US"/>
            <a:t>* </a:t>
          </a:r>
          <a:r>
            <a:rPr lang="en-US" altLang="ko-KR"/>
            <a:t>void init(int mMap[][MAP_SIZE], struct Spaceship spaceships[]):</a:t>
          </a:r>
        </a:p>
        <a:p>
          <a:r>
            <a:rPr lang="en-US" altLang="ko-KR"/>
            <a:t>  : </a:t>
          </a:r>
          <a:r>
            <a:rPr lang="ko-KR" altLang="en-US"/>
            <a:t>행성 지도 </a:t>
          </a:r>
          <a:r>
            <a:rPr lang="en-US" altLang="ko-KR"/>
            <a:t>mMap[][]</a:t>
          </a:r>
          <a:r>
            <a:rPr lang="ko-KR" altLang="en-US"/>
            <a:t>과 우주선 정보 </a:t>
          </a:r>
          <a:r>
            <a:rPr lang="en-US" altLang="ko-KR"/>
            <a:t>spaceships[]</a:t>
          </a:r>
          <a:r>
            <a:rPr lang="ko-KR" altLang="en-US"/>
            <a:t>가 주어진다</a:t>
          </a:r>
          <a:r>
            <a:rPr lang="en-US" altLang="ko-KR"/>
            <a:t>.</a:t>
          </a:r>
        </a:p>
        <a:p>
          <a:r>
            <a:rPr lang="en-US" altLang="ko-KR"/>
            <a:t>* void process(int rows[], int cols[], int dirs[]) :</a:t>
          </a:r>
        </a:p>
        <a:p>
          <a:r>
            <a:rPr lang="en-US" altLang="ko-KR"/>
            <a:t>  : </a:t>
          </a:r>
          <a:r>
            <a:rPr lang="ko-KR" altLang="en-US"/>
            <a:t>착륙지에 착륙한 우주선의 착륙지 좌표와 회전 여부를 구하여 반환한다</a:t>
          </a:r>
          <a:r>
            <a:rPr lang="en-US" altLang="ko-KR"/>
            <a:t>.</a:t>
          </a:r>
        </a:p>
        <a:p>
          <a:r>
            <a:rPr lang="en-US" altLang="ko-KR"/>
            <a:t>  : row[i] - i</a:t>
          </a:r>
          <a:r>
            <a:rPr lang="ko-KR" altLang="en-US"/>
            <a:t>우주선이 착륙한 경우 행좌표</a:t>
          </a:r>
        </a:p>
        <a:p>
          <a:r>
            <a:rPr lang="en-US" altLang="ko-KR"/>
            <a:t>col[i] - i</a:t>
          </a:r>
          <a:r>
            <a:rPr lang="ko-KR" altLang="en-US"/>
            <a:t>우주선이 착륙한 경우 열좌표</a:t>
          </a:r>
        </a:p>
        <a:p>
          <a:r>
            <a:rPr lang="en-US" altLang="ko-KR"/>
            <a:t>dir[i] - i</a:t>
          </a:r>
          <a:r>
            <a:rPr lang="ko-KR" altLang="en-US"/>
            <a:t>우주선이 회전하여 착륙한 경우 </a:t>
          </a:r>
          <a:r>
            <a:rPr lang="en-US" altLang="ko-KR"/>
            <a:t>1, </a:t>
          </a:r>
          <a:r>
            <a:rPr lang="ko-KR" altLang="en-US"/>
            <a:t>그렇지 않은 경우 </a:t>
          </a:r>
          <a:r>
            <a:rPr lang="en-US" altLang="ko-KR"/>
            <a:t>0</a:t>
          </a:r>
        </a:p>
        <a:p>
          <a:endParaRPr lang="en-US" altLang="ko-KR"/>
        </a:p>
        <a:p>
          <a:endParaRPr lang="en-US" altLang="ko-KR"/>
        </a:p>
        <a:p>
          <a:r>
            <a:rPr lang="en-US" altLang="ko-KR" b="1"/>
            <a:t>[</a:t>
          </a:r>
          <a:r>
            <a:rPr lang="ko-KR" altLang="en-US" b="1"/>
            <a:t>문제 분석</a:t>
          </a:r>
          <a:r>
            <a:rPr lang="en-US" altLang="ko-KR" b="1"/>
            <a:t>]</a:t>
          </a:r>
          <a:endParaRPr lang="ko-KR" altLang="en-US"/>
        </a:p>
        <a:p>
          <a:r>
            <a:rPr lang="ko-KR" altLang="en-US"/>
            <a:t>  </a:t>
          </a:r>
          <a:r>
            <a:rPr lang="en-US" altLang="ko-KR"/>
            <a:t>: </a:t>
          </a:r>
          <a:r>
            <a:rPr lang="ko-KR" altLang="en-US"/>
            <a:t>등장 주체는 착륙지와 우주선 둘 뿐이다</a:t>
          </a:r>
          <a:r>
            <a:rPr lang="en-US" altLang="ko-KR"/>
            <a:t>.</a:t>
          </a:r>
        </a:p>
        <a:p>
          <a:r>
            <a:rPr lang="en-US" altLang="ko-KR"/>
            <a:t>  : </a:t>
          </a:r>
          <a:r>
            <a:rPr lang="ko-KR" altLang="en-US"/>
            <a:t>착륙하지 못한 우주선이 존재할 수 있다</a:t>
          </a:r>
          <a:r>
            <a:rPr lang="en-US" altLang="ko-KR"/>
            <a:t>. (</a:t>
          </a:r>
          <a:r>
            <a:rPr lang="ko-KR" altLang="en-US"/>
            <a:t>지도 출력과 같은 데이터 분석 후 알수 있다</a:t>
          </a:r>
          <a:r>
            <a:rPr lang="en-US" altLang="ko-KR"/>
            <a:t>.)</a:t>
          </a:r>
        </a:p>
        <a:p>
          <a:r>
            <a:rPr lang="ko-KR" altLang="en-US"/>
            <a:t>사용되지 못한 착륙지가 존재할 수 있다</a:t>
          </a:r>
          <a:r>
            <a:rPr lang="en-US" altLang="ko-KR"/>
            <a:t>. (</a:t>
          </a:r>
          <a:r>
            <a:rPr lang="ko-KR" altLang="en-US"/>
            <a:t>지도 출력과 같은 데이터 분석 후 알수 있다</a:t>
          </a:r>
          <a:r>
            <a:rPr lang="en-US" altLang="ko-KR"/>
            <a:t>.)</a:t>
          </a:r>
        </a:p>
        <a:p>
          <a:r>
            <a:rPr lang="en-US" altLang="ko-KR"/>
            <a:t>  : main.cpp</a:t>
          </a:r>
          <a:r>
            <a:rPr lang="ko-KR" altLang="en-US"/>
            <a:t>는 </a:t>
          </a:r>
          <a:r>
            <a:rPr lang="en-US" altLang="ko-KR"/>
            <a:t>user.cpp</a:t>
          </a:r>
          <a:r>
            <a:rPr lang="ko-KR" altLang="en-US"/>
            <a:t>에 모든 정보를 제공한다</a:t>
          </a:r>
          <a:r>
            <a:rPr lang="en-US" altLang="ko-KR"/>
            <a:t>.</a:t>
          </a:r>
        </a:p>
        <a:p>
          <a:r>
            <a:rPr lang="en-US" altLang="ko-KR"/>
            <a:t>  : </a:t>
          </a:r>
          <a:r>
            <a:rPr lang="ko-KR" altLang="en-US"/>
            <a:t>맵에서 착륙가능한 지역을 찾아야 한다</a:t>
          </a:r>
          <a:r>
            <a:rPr lang="en-US" altLang="ko-KR"/>
            <a:t>.</a:t>
          </a:r>
        </a:p>
        <a:p>
          <a:r>
            <a:rPr lang="ko-KR" altLang="en-US"/>
            <a:t>착륙가능한 지역이 </a:t>
          </a:r>
          <a:r>
            <a:rPr lang="en-US" altLang="ko-KR"/>
            <a:t>2</a:t>
          </a:r>
          <a:r>
            <a:rPr lang="ko-KR" altLang="en-US"/>
            <a:t>개이상 여러 개가 겹칠수 있다</a:t>
          </a:r>
          <a:r>
            <a:rPr lang="en-US" altLang="ko-KR"/>
            <a:t>.</a:t>
          </a:r>
        </a:p>
        <a:p>
          <a:r>
            <a:rPr lang="en-US" altLang="ko-KR"/>
            <a:t>SEED = 5</a:t>
          </a:r>
          <a:r>
            <a:rPr lang="ko-KR" altLang="en-US"/>
            <a:t>에서 최대 </a:t>
          </a:r>
          <a:r>
            <a:rPr lang="en-US" altLang="ko-KR"/>
            <a:t>11</a:t>
          </a:r>
          <a:r>
            <a:rPr lang="ko-KR" altLang="en-US"/>
            <a:t>개가 서로 겹친다</a:t>
          </a:r>
          <a:r>
            <a:rPr lang="en-US" altLang="ko-KR"/>
            <a:t>. (</a:t>
          </a:r>
          <a:r>
            <a:rPr lang="ko-KR" altLang="en-US"/>
            <a:t>데이터 분석 후 알 수 있다</a:t>
          </a:r>
          <a:r>
            <a:rPr lang="en-US" altLang="ko-KR"/>
            <a:t>. - </a:t>
          </a:r>
          <a:r>
            <a:rPr lang="ko-KR" altLang="en-US"/>
            <a:t>유니온 파인드</a:t>
          </a:r>
          <a:r>
            <a:rPr lang="en-US" altLang="ko-KR"/>
            <a:t>)</a:t>
          </a:r>
        </a:p>
        <a:p>
          <a:r>
            <a:rPr lang="en-US" altLang="ko-KR"/>
            <a:t>  : </a:t>
          </a:r>
          <a:r>
            <a:rPr lang="ko-KR" altLang="en-US"/>
            <a:t>점수는 착륙한 우주선의 세로길이*가로길이*</a:t>
          </a:r>
          <a:r>
            <a:rPr lang="en-US" altLang="ko-KR"/>
            <a:t>min(</a:t>
          </a:r>
          <a:r>
            <a:rPr lang="ko-KR" altLang="en-US"/>
            <a:t>세로길이</a:t>
          </a:r>
          <a:r>
            <a:rPr lang="en-US" altLang="ko-KR"/>
            <a:t>, </a:t>
          </a:r>
          <a:r>
            <a:rPr lang="ko-KR" altLang="en-US"/>
            <a:t>가로길이</a:t>
          </a:r>
          <a:r>
            <a:rPr lang="en-US" altLang="ko-KR"/>
            <a:t>)</a:t>
          </a:r>
          <a:r>
            <a:rPr lang="ko-KR" altLang="en-US"/>
            <a:t>의 합들로 계산되므로</a:t>
          </a:r>
        </a:p>
        <a:p>
          <a:r>
            <a:rPr lang="en-US" altLang="ko-KR"/>
            <a:t>1) </a:t>
          </a:r>
          <a:r>
            <a:rPr lang="ko-KR" altLang="en-US"/>
            <a:t>가능한 많은 우주선을 착륙시켜야 한다</a:t>
          </a:r>
          <a:r>
            <a:rPr lang="en-US" altLang="ko-KR"/>
            <a:t>.</a:t>
          </a:r>
        </a:p>
        <a:p>
          <a:r>
            <a:rPr lang="en-US" altLang="ko-KR"/>
            <a:t>2) </a:t>
          </a:r>
          <a:r>
            <a:rPr lang="ko-KR" altLang="en-US"/>
            <a:t>같은 수의 우주선을 착륙시킬 수 있는 경우가 </a:t>
          </a:r>
          <a:r>
            <a:rPr lang="en-US" altLang="ko-KR"/>
            <a:t>2</a:t>
          </a:r>
          <a:r>
            <a:rPr lang="ko-KR" altLang="en-US"/>
            <a:t>가지 이상 있다면</a:t>
          </a:r>
        </a:p>
        <a:p>
          <a:r>
            <a:rPr lang="ko-KR" altLang="en-US"/>
            <a:t>   가능한 점수가 높은 우주선들을 착륙시키는 것이 유리하다</a:t>
          </a:r>
          <a:r>
            <a:rPr lang="en-US" altLang="ko-KR"/>
            <a:t>.</a:t>
          </a:r>
        </a:p>
        <a:p>
          <a:r>
            <a:rPr lang="en-US" altLang="ko-KR"/>
            <a:t>!!! </a:t>
          </a:r>
          <a:r>
            <a:rPr lang="ko-KR" altLang="en-US"/>
            <a:t>착륙지가 우주선을 선택할 것인가</a:t>
          </a:r>
          <a:r>
            <a:rPr lang="en-US" altLang="ko-KR"/>
            <a:t>? or </a:t>
          </a:r>
          <a:r>
            <a:rPr lang="ko-KR" altLang="en-US"/>
            <a:t>우주선이 착륙지를 선택할 것인가</a:t>
          </a:r>
          <a:r>
            <a:rPr lang="en-US" altLang="ko-KR"/>
            <a:t>?</a:t>
          </a:r>
        </a:p>
        <a:p>
          <a:r>
            <a:rPr lang="en-US" altLang="ko-KR"/>
            <a:t>!!! </a:t>
          </a:r>
          <a:r>
            <a:rPr lang="ko-KR" altLang="en-US"/>
            <a:t>착륙가능한 지역이 겹쳐 있는 경우 어떻게 처리할 것인가</a:t>
          </a:r>
          <a:r>
            <a:rPr lang="en-US" altLang="ko-KR"/>
            <a:t>?</a:t>
          </a:r>
        </a:p>
      </xdr:txBody>
    </xdr:sp>
    <xdr:clientData/>
  </xdr:twoCellAnchor>
  <xdr:twoCellAnchor>
    <xdr:from>
      <xdr:col>11</xdr:col>
      <xdr:colOff>104775</xdr:colOff>
      <xdr:row>1</xdr:row>
      <xdr:rowOff>57150</xdr:rowOff>
    </xdr:from>
    <xdr:to>
      <xdr:col>24</xdr:col>
      <xdr:colOff>38099</xdr:colOff>
      <xdr:row>91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34605F9-AE6F-645B-0F91-B161372CF50F}"/>
            </a:ext>
          </a:extLst>
        </xdr:cNvPr>
        <xdr:cNvSpPr txBox="1"/>
      </xdr:nvSpPr>
      <xdr:spPr>
        <a:xfrm>
          <a:off x="7439025" y="285750"/>
          <a:ext cx="8601074" cy="19678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b="1"/>
            <a:t>[Data Analysis]</a:t>
          </a:r>
          <a:endParaRPr lang="en-US" altLang="ko-KR"/>
        </a:p>
        <a:p>
          <a:r>
            <a:rPr lang="ko-KR" altLang="en-US"/>
            <a:t>착륙가능한 지역을 표시해본다</a:t>
          </a:r>
          <a:r>
            <a:rPr lang="en-US" altLang="ko-KR"/>
            <a:t>.</a:t>
          </a:r>
        </a:p>
        <a:p>
          <a:r>
            <a:rPr lang="ko-KR" altLang="en-US"/>
            <a:t>착륙가능한 지역을 어떻게 찾을 수 있을까</a:t>
          </a:r>
          <a:r>
            <a:rPr lang="en-US" altLang="ko-KR"/>
            <a:t>?</a:t>
          </a:r>
        </a:p>
        <a:p>
          <a:r>
            <a:rPr lang="ko-KR" altLang="en-US"/>
            <a:t>착륙가능한 지역수는 몇개일까</a:t>
          </a:r>
          <a:r>
            <a:rPr lang="en-US" altLang="ko-KR"/>
            <a:t>?</a:t>
          </a:r>
        </a:p>
        <a:p>
          <a:r>
            <a:rPr lang="ko-KR" altLang="en-US"/>
            <a:t>착륙지가 겹치는가</a:t>
          </a:r>
          <a:r>
            <a:rPr lang="en-US" altLang="ko-KR"/>
            <a:t>?</a:t>
          </a:r>
        </a:p>
        <a:p>
          <a:r>
            <a:rPr lang="ko-KR" altLang="en-US"/>
            <a:t>겹치는 경우를 어떻게 표시할 수 있을까</a:t>
          </a:r>
          <a:r>
            <a:rPr lang="en-US" altLang="ko-KR"/>
            <a:t>?</a:t>
          </a:r>
        </a:p>
        <a:p>
          <a:endParaRPr lang="en-US" altLang="ko-KR"/>
        </a:p>
        <a:p>
          <a:endParaRPr lang="en-US" altLang="ko-KR"/>
        </a:p>
        <a:p>
          <a:r>
            <a:rPr lang="en-US" altLang="ko-KR" b="1"/>
            <a:t>[sketchCode]</a:t>
          </a:r>
          <a:endParaRPr lang="en-US" altLang="ko-KR"/>
        </a:p>
        <a:p>
          <a:r>
            <a:rPr lang="en-US" altLang="ko-KR" b="1"/>
            <a:t>: </a:t>
          </a:r>
          <a:r>
            <a:rPr lang="ko-KR" altLang="en-US" b="1"/>
            <a:t>점수가 높은 우주선이 착륙지를 선택하는 전략</a:t>
          </a:r>
          <a:endParaRPr lang="ko-KR" altLang="en-US"/>
        </a:p>
        <a:p>
          <a:r>
            <a:rPr lang="ko-KR" altLang="en-US"/>
            <a:t>가능한 높은 점수를 얻는것이 목적이므로 다음과 같은 전략을 생각할 수 있다</a:t>
          </a:r>
          <a:r>
            <a:rPr lang="en-US" altLang="ko-KR"/>
            <a:t>.</a:t>
          </a:r>
        </a:p>
        <a:p>
          <a:r>
            <a:rPr lang="en-US" altLang="ko-KR"/>
            <a:t>1. </a:t>
          </a:r>
          <a:r>
            <a:rPr lang="ko-KR" altLang="en-US"/>
            <a:t>우주선에 점수</a:t>
          </a:r>
          <a:r>
            <a:rPr lang="en-US" altLang="ko-KR"/>
            <a:t>( h </a:t>
          </a:r>
          <a:r>
            <a:rPr lang="en-US" altLang="ko-KR" i="1"/>
            <a:t>w </a:t>
          </a:r>
          <a:r>
            <a:rPr lang="en-US" altLang="ko-KR"/>
            <a:t>min(h, w) )</a:t>
          </a:r>
          <a:r>
            <a:rPr lang="ko-KR" altLang="en-US"/>
            <a:t>를 부여하고 점수의 내림차순으로 정렬한다</a:t>
          </a:r>
          <a:r>
            <a:rPr lang="en-US" altLang="ko-KR"/>
            <a:t>.</a:t>
          </a:r>
        </a:p>
        <a:p>
          <a:r>
            <a:rPr lang="en-US" altLang="ko-KR"/>
            <a:t>2. </a:t>
          </a:r>
          <a:r>
            <a:rPr lang="ko-KR" altLang="en-US"/>
            <a:t>우주선이 착륙가능한 지역을 찾아 크기별로 분류하여 저장한다</a:t>
          </a:r>
          <a:r>
            <a:rPr lang="en-US" altLang="ko-KR"/>
            <a:t>.</a:t>
          </a:r>
        </a:p>
        <a:p>
          <a:r>
            <a:rPr lang="en-US" altLang="ko-KR"/>
            <a:t>3. </a:t>
          </a:r>
          <a:r>
            <a:rPr lang="ko-KR" altLang="en-US"/>
            <a:t>점수가 높은 우주선을 우선으로 착륙지를 배정한다</a:t>
          </a:r>
          <a:r>
            <a:rPr lang="en-US" altLang="ko-KR"/>
            <a:t>.</a:t>
          </a:r>
        </a:p>
        <a:p>
          <a:r>
            <a:rPr lang="en-US" altLang="ko-KR"/>
            <a:t>   </a:t>
          </a:r>
          <a:r>
            <a:rPr lang="ko-KR" altLang="en-US"/>
            <a:t>이 전략으로 </a:t>
          </a:r>
          <a:r>
            <a:rPr lang="en-US" altLang="ko-KR"/>
            <a:t>2,99*,*** </a:t>
          </a:r>
          <a:r>
            <a:rPr lang="ko-KR" altLang="en-US"/>
            <a:t>점을 얻는다</a:t>
          </a:r>
          <a:r>
            <a:rPr lang="en-US" altLang="ko-KR"/>
            <a:t>.</a:t>
          </a:r>
        </a:p>
        <a:p>
          <a:endParaRPr lang="en-US" altLang="ko-KR"/>
        </a:p>
        <a:p>
          <a:endParaRPr lang="en-US" altLang="ko-KR"/>
        </a:p>
        <a:p>
          <a:r>
            <a:rPr lang="en-US" altLang="ko-KR" b="1"/>
            <a:t>[</a:t>
          </a:r>
          <a:r>
            <a:rPr lang="ko-KR" altLang="en-US" b="1"/>
            <a:t>해결 전략 </a:t>
          </a:r>
          <a:r>
            <a:rPr lang="en-US" altLang="ko-KR" b="1"/>
            <a:t>1]</a:t>
          </a:r>
          <a:endParaRPr lang="ko-KR" altLang="en-US"/>
        </a:p>
        <a:p>
          <a:r>
            <a:rPr lang="en-US" altLang="ko-KR" b="1"/>
            <a:t>: </a:t>
          </a:r>
          <a:r>
            <a:rPr lang="ko-KR" altLang="en-US" b="1"/>
            <a:t>착륙가능한 그룹에서 얻을 수 있는 가장 좋은 조합을 찾고 </a:t>
          </a:r>
          <a:br>
            <a:rPr lang="ko-KR" altLang="en-US" b="1"/>
          </a:br>
          <a:r>
            <a:rPr lang="ko-KR" altLang="en-US" b="1"/>
            <a:t>  이 조합에 필요한 우주선</a:t>
          </a:r>
          <a:r>
            <a:rPr lang="en-US" altLang="ko-KR" b="1"/>
            <a:t>(</a:t>
          </a:r>
          <a:r>
            <a:rPr lang="ko-KR" altLang="en-US" b="1"/>
            <a:t>들</a:t>
          </a:r>
          <a:r>
            <a:rPr lang="en-US" altLang="ko-KR" b="1"/>
            <a:t>)</a:t>
          </a:r>
          <a:r>
            <a:rPr lang="ko-KR" altLang="en-US" b="1"/>
            <a:t>을 착륙지가 선택하는 전략</a:t>
          </a:r>
          <a:endParaRPr lang="ko-KR" altLang="en-US"/>
        </a:p>
        <a:p>
          <a:r>
            <a:rPr lang="ko-KR" altLang="en-US"/>
            <a:t>* 우주선개수 </a:t>
          </a:r>
          <a:r>
            <a:rPr lang="en-US" altLang="ko-KR"/>
            <a:t>10000</a:t>
          </a:r>
          <a:r>
            <a:rPr lang="ko-KR" altLang="en-US"/>
            <a:t>개에 비하여 착륙가능한 지역은 </a:t>
          </a:r>
          <a:r>
            <a:rPr lang="en-US" altLang="ko-KR"/>
            <a:t>8</a:t>
          </a:r>
          <a:r>
            <a:rPr lang="ko-KR" altLang="en-US"/>
            <a:t>천여개</a:t>
          </a:r>
          <a:r>
            <a:rPr lang="en-US" altLang="ko-KR"/>
            <a:t>(</a:t>
          </a:r>
          <a:r>
            <a:rPr lang="ko-KR" altLang="en-US"/>
            <a:t>겹치는것 포함</a:t>
          </a:r>
          <a:r>
            <a:rPr lang="en-US" altLang="ko-KR"/>
            <a:t>)</a:t>
          </a:r>
          <a:r>
            <a:rPr lang="ko-KR" altLang="en-US"/>
            <a:t>이다</a:t>
          </a:r>
          <a:r>
            <a:rPr lang="en-US" altLang="ko-KR"/>
            <a:t>.</a:t>
          </a:r>
        </a:p>
        <a:p>
          <a:r>
            <a:rPr lang="en-US" altLang="ko-KR"/>
            <a:t>  </a:t>
          </a:r>
          <a:r>
            <a:rPr lang="ko-KR" altLang="en-US"/>
            <a:t>실제 착륙가능한 우주선 수는 </a:t>
          </a:r>
          <a:r>
            <a:rPr lang="en-US" altLang="ko-KR"/>
            <a:t>7</a:t>
          </a:r>
          <a:r>
            <a:rPr lang="ko-KR" altLang="en-US"/>
            <a:t>천여개가 된다</a:t>
          </a:r>
          <a:r>
            <a:rPr lang="en-US" altLang="ko-KR"/>
            <a:t>.</a:t>
          </a:r>
        </a:p>
        <a:p>
          <a:r>
            <a:rPr lang="en-US" altLang="ko-KR"/>
            <a:t>* </a:t>
          </a:r>
          <a:r>
            <a:rPr lang="ko-KR" altLang="en-US"/>
            <a:t>따라서 착륙지를 분석해보는 전략을 생각해 볼 수 있다</a:t>
          </a:r>
          <a:r>
            <a:rPr lang="en-US" altLang="ko-KR"/>
            <a:t>.</a:t>
          </a:r>
        </a:p>
        <a:p>
          <a:r>
            <a:rPr lang="en-US" altLang="ko-KR"/>
            <a:t>  outputLand.txt</a:t>
          </a:r>
          <a:r>
            <a:rPr lang="ko-KR" altLang="en-US"/>
            <a:t>에서 보이는 것과 같이 착륙지끼리 겹치는 구역이 상당수 있다</a:t>
          </a:r>
          <a:r>
            <a:rPr lang="en-US" altLang="ko-KR"/>
            <a:t>.</a:t>
          </a:r>
        </a:p>
        <a:p>
          <a:r>
            <a:rPr lang="en-US" altLang="ko-KR"/>
            <a:t>  </a:t>
          </a:r>
          <a:r>
            <a:rPr lang="ko-KR" altLang="en-US"/>
            <a:t>이들을 한 그룹으로 하고 그 그룹에서 가능한 최적 조합을 찾는 것이다</a:t>
          </a:r>
          <a:r>
            <a:rPr lang="en-US" altLang="ko-KR"/>
            <a:t>.</a:t>
          </a:r>
        </a:p>
        <a:p>
          <a:r>
            <a:rPr lang="en-US" altLang="ko-KR"/>
            <a:t>  </a:t>
          </a:r>
          <a:r>
            <a:rPr lang="ko-KR" altLang="en-US"/>
            <a:t>예를 들어 한 그룹에 ⓐ</a:t>
          </a:r>
          <a:r>
            <a:rPr lang="en-US" altLang="ko-KR"/>
            <a:t>(2, 2), ⓑ(3, 4), ⓒ(4, 4), ⓓ(4, 3) </a:t>
          </a:r>
          <a:r>
            <a:rPr lang="ko-KR" altLang="en-US"/>
            <a:t>가 있고</a:t>
          </a:r>
        </a:p>
        <a:p>
          <a:r>
            <a:rPr lang="ko-KR" altLang="en-US"/>
            <a:t>  ⓐⓑⓓ는 서로 겹치지 않으나 ⓒ는 모두와 겹친다면 단독으로 볼 때</a:t>
          </a:r>
          <a:r>
            <a:rPr lang="en-US" altLang="ko-KR"/>
            <a:t>, </a:t>
          </a:r>
          <a:br>
            <a:rPr lang="en-US" altLang="ko-KR"/>
          </a:br>
          <a:r>
            <a:rPr lang="en-US" altLang="ko-KR"/>
            <a:t>ⓒ</a:t>
          </a:r>
          <a:r>
            <a:rPr lang="ko-KR" altLang="en-US"/>
            <a:t>의 점수가 </a:t>
          </a:r>
          <a:r>
            <a:rPr lang="en-US" altLang="ko-KR"/>
            <a:t>64</a:t>
          </a:r>
          <a:r>
            <a:rPr lang="ko-KR" altLang="en-US"/>
            <a:t>점으로 가장 좋지만</a:t>
          </a:r>
        </a:p>
        <a:p>
          <a:r>
            <a:rPr lang="ko-KR" altLang="en-US"/>
            <a:t>  ⓐⓑⓓ의 점수를 합치면 </a:t>
          </a:r>
          <a:r>
            <a:rPr lang="en-US" altLang="ko-KR"/>
            <a:t>8+36+36=80</a:t>
          </a:r>
          <a:r>
            <a:rPr lang="ko-KR" altLang="en-US"/>
            <a:t>점으로 더 좋다</a:t>
          </a:r>
          <a:r>
            <a:rPr lang="en-US" altLang="ko-KR"/>
            <a:t>.</a:t>
          </a:r>
        </a:p>
        <a:p>
          <a:r>
            <a:rPr lang="en-US" altLang="ko-KR"/>
            <a:t>  </a:t>
          </a:r>
          <a:r>
            <a:rPr lang="ko-KR" altLang="en-US"/>
            <a:t>이런 경우라면 ⓐⓑⓓ를 선택하는 전략을 생각할 수 있다</a:t>
          </a:r>
          <a:r>
            <a:rPr lang="en-US" altLang="ko-KR"/>
            <a:t>.</a:t>
          </a:r>
        </a:p>
        <a:p>
          <a:r>
            <a:rPr lang="en-US" altLang="ko-KR"/>
            <a:t>&lt; </a:t>
          </a:r>
          <a:r>
            <a:rPr lang="ko-KR" altLang="en-US"/>
            <a:t>문제 해결 프로세스 </a:t>
          </a:r>
          <a:r>
            <a:rPr lang="en-US" altLang="ko-KR"/>
            <a:t>&gt;</a:t>
          </a:r>
        </a:p>
        <a:p>
          <a:r>
            <a:rPr lang="en-US" altLang="ko-KR"/>
            <a:t>1. init()</a:t>
          </a:r>
        </a:p>
        <a:p>
          <a:r>
            <a:rPr lang="en-US" altLang="ko-KR"/>
            <a:t>    (1) </a:t>
          </a:r>
          <a:r>
            <a:rPr lang="ko-KR" altLang="en-US"/>
            <a:t>착륙지를 찾고 겹치는 착륙지는 그룹을 지어 그룹별로 모은다</a:t>
          </a:r>
          <a:r>
            <a:rPr lang="en-US" altLang="ko-KR"/>
            <a:t>.</a:t>
          </a:r>
        </a:p>
        <a:p>
          <a:r>
            <a:rPr lang="en-US" altLang="ko-KR"/>
            <a:t>    (2) </a:t>
          </a:r>
          <a:r>
            <a:rPr lang="ko-KR" altLang="en-US"/>
            <a:t>우주선을 크기별 목록에 담아 놓는다</a:t>
          </a:r>
          <a:r>
            <a:rPr lang="en-US" altLang="ko-KR"/>
            <a:t>.</a:t>
          </a:r>
        </a:p>
        <a:p>
          <a:r>
            <a:rPr lang="en-US" altLang="ko-KR"/>
            <a:t>2. process()</a:t>
          </a:r>
        </a:p>
        <a:p>
          <a:r>
            <a:rPr lang="en-US" altLang="ko-KR"/>
            <a:t>    </a:t>
          </a:r>
          <a:r>
            <a:rPr lang="ko-KR" altLang="en-US"/>
            <a:t>착륙지 각 그룹별 최적조합</a:t>
          </a:r>
          <a:r>
            <a:rPr lang="en-US" altLang="ko-KR"/>
            <a:t>(</a:t>
          </a:r>
          <a:r>
            <a:rPr lang="ko-KR" altLang="en-US"/>
            <a:t>가장 높은 점수를 내는</a:t>
          </a:r>
          <a:r>
            <a:rPr lang="en-US" altLang="ko-KR"/>
            <a:t>)</a:t>
          </a:r>
          <a:r>
            <a:rPr lang="ko-KR" altLang="en-US"/>
            <a:t>을 찾는다</a:t>
          </a:r>
          <a:r>
            <a:rPr lang="en-US" altLang="ko-KR"/>
            <a:t>.</a:t>
          </a:r>
        </a:p>
        <a:p>
          <a:r>
            <a:rPr lang="en-US" altLang="ko-KR"/>
            <a:t>    </a:t>
          </a:r>
          <a:r>
            <a:rPr lang="ko-KR" altLang="en-US"/>
            <a:t>이때</a:t>
          </a:r>
          <a:r>
            <a:rPr lang="en-US" altLang="ko-KR"/>
            <a:t>, dfs</a:t>
          </a:r>
          <a:r>
            <a:rPr lang="ko-KR" altLang="en-US"/>
            <a:t>를 이용하여 비교적 어렵지 않게 찾을 수 있다</a:t>
          </a:r>
          <a:r>
            <a:rPr lang="en-US" altLang="ko-KR"/>
            <a:t>.</a:t>
          </a:r>
        </a:p>
        <a:p>
          <a:r>
            <a:rPr lang="en-US" altLang="ko-KR"/>
            <a:t>    </a:t>
          </a:r>
          <a:r>
            <a:rPr lang="ko-KR" altLang="en-US"/>
            <a:t>찾은 조합을 구성하는 착륙지에 우주선을 착륙시킨다</a:t>
          </a:r>
          <a:r>
            <a:rPr lang="en-US" altLang="ko-KR"/>
            <a:t>.</a:t>
          </a:r>
        </a:p>
        <a:p>
          <a:r>
            <a:rPr lang="en-US" altLang="ko-KR"/>
            <a:t>    </a:t>
          </a:r>
          <a:r>
            <a:rPr lang="ko-KR" altLang="en-US"/>
            <a:t>이경우 </a:t>
          </a:r>
          <a:r>
            <a:rPr lang="en-US" altLang="ko-KR"/>
            <a:t>seed = 5</a:t>
          </a:r>
          <a:r>
            <a:rPr lang="ko-KR" altLang="en-US"/>
            <a:t>에서 최적해를 얻을 수 있다</a:t>
          </a:r>
          <a:r>
            <a:rPr lang="en-US" altLang="ko-KR"/>
            <a:t>.</a:t>
          </a:r>
        </a:p>
        <a:p>
          <a:r>
            <a:rPr lang="en-US" altLang="ko-KR"/>
            <a:t>    </a:t>
          </a:r>
          <a:r>
            <a:rPr lang="ko-KR" altLang="en-US"/>
            <a:t>그러나 </a:t>
          </a:r>
          <a:r>
            <a:rPr lang="en-US" altLang="ko-KR"/>
            <a:t>seed = 32, seed = 176 </a:t>
          </a:r>
          <a:r>
            <a:rPr lang="ko-KR" altLang="en-US"/>
            <a:t>등에서는 최적해를 얻기 매우 힘들다</a:t>
          </a:r>
          <a:r>
            <a:rPr lang="en-US" altLang="ko-KR"/>
            <a:t>.</a:t>
          </a:r>
        </a:p>
        <a:p>
          <a:r>
            <a:rPr lang="en-US" altLang="ko-KR"/>
            <a:t>    </a:t>
          </a:r>
          <a:r>
            <a:rPr lang="ko-KR" altLang="en-US"/>
            <a:t>따라서 이문제 역시 </a:t>
          </a:r>
          <a:r>
            <a:rPr lang="en-US" altLang="ko-KR"/>
            <a:t>NP</a:t>
          </a:r>
          <a:r>
            <a:rPr lang="ko-KR" altLang="en-US"/>
            <a:t>문제로 볼 수 있다</a:t>
          </a:r>
          <a:r>
            <a:rPr lang="en-US" altLang="ko-KR"/>
            <a:t>.</a:t>
          </a:r>
        </a:p>
        <a:p>
          <a:r>
            <a:rPr lang="en-US" altLang="ko-KR"/>
            <a:t>SEED :   5, SCORE : 3001673</a:t>
          </a:r>
        </a:p>
        <a:p>
          <a:r>
            <a:rPr lang="en-US" altLang="ko-KR"/>
            <a:t>SEED :  32, SCORE : 3011024</a:t>
          </a:r>
        </a:p>
        <a:p>
          <a:r>
            <a:rPr lang="en-US" altLang="ko-KR"/>
            <a:t>SEED : 176, SCORE : 3022040</a:t>
          </a:r>
        </a:p>
        <a:p>
          <a:endParaRPr lang="en-US" altLang="ko-KR"/>
        </a:p>
        <a:p>
          <a:endParaRPr lang="en-US" altLang="ko-KR"/>
        </a:p>
        <a:p>
          <a:r>
            <a:rPr lang="en-US" altLang="ko-KR" b="1"/>
            <a:t>[</a:t>
          </a:r>
          <a:r>
            <a:rPr lang="ko-KR" altLang="en-US" b="1"/>
            <a:t>해결 전략 </a:t>
          </a:r>
          <a:r>
            <a:rPr lang="en-US" altLang="ko-KR" b="1"/>
            <a:t>2]</a:t>
          </a:r>
          <a:endParaRPr lang="ko-KR" altLang="en-US"/>
        </a:p>
        <a:p>
          <a:r>
            <a:rPr lang="ko-KR" altLang="en-US"/>
            <a:t>* </a:t>
          </a:r>
          <a:r>
            <a:rPr lang="en-US" altLang="ko-KR"/>
            <a:t>[</a:t>
          </a:r>
          <a:r>
            <a:rPr lang="ko-KR" altLang="en-US"/>
            <a:t>해결전략</a:t>
          </a:r>
          <a:r>
            <a:rPr lang="en-US" altLang="ko-KR"/>
            <a:t>1] </a:t>
          </a:r>
          <a:r>
            <a:rPr lang="ko-KR" altLang="en-US"/>
            <a:t>에서 각 그룹별 최대점수를 계산할 때</a:t>
          </a:r>
          <a:r>
            <a:rPr lang="en-US" altLang="ko-KR"/>
            <a:t>, </a:t>
          </a:r>
          <a:r>
            <a:rPr lang="ko-KR" altLang="en-US"/>
            <a:t>우주선 재고를 고려하면서 처리하기</a:t>
          </a:r>
          <a:r>
            <a:rPr lang="en-US" altLang="ko-KR"/>
            <a:t>.</a:t>
          </a:r>
        </a:p>
        <a:p>
          <a:r>
            <a:rPr lang="en-US" altLang="ko-KR"/>
            <a:t>                   &lt;ver01&gt;    &lt;ver02&gt;</a:t>
          </a:r>
        </a:p>
        <a:p>
          <a:r>
            <a:rPr lang="en-US" altLang="ko-KR"/>
            <a:t>seed :   5  SCORE: 3001673</a:t>
          </a:r>
        </a:p>
        <a:p>
          <a:r>
            <a:rPr lang="en-US" altLang="ko-KR"/>
            <a:t>seed :  32  SCORE: 3011024 =&gt; 3011261</a:t>
          </a:r>
        </a:p>
        <a:p>
          <a:r>
            <a:rPr lang="en-US" altLang="ko-KR"/>
            <a:t>seed : 176  SCORE: 3022040 =&gt; 3022226</a:t>
          </a:r>
        </a:p>
        <a:p>
          <a:r>
            <a:rPr lang="en-US" altLang="ko-KR"/>
            <a:t>PASS</a:t>
          </a:r>
        </a:p>
        <a:p>
          <a:endParaRPr lang="en-US" altLang="ko-KR"/>
        </a:p>
        <a:p>
          <a:endParaRPr lang="en-US" altLang="ko-KR"/>
        </a:p>
        <a:p>
          <a:r>
            <a:rPr lang="en-US" altLang="ko-KR" b="1"/>
            <a:t>[</a:t>
          </a:r>
          <a:r>
            <a:rPr lang="ko-KR" altLang="en-US" b="1"/>
            <a:t>해결 전략 </a:t>
          </a:r>
          <a:r>
            <a:rPr lang="en-US" altLang="ko-KR" b="1"/>
            <a:t>3]</a:t>
          </a:r>
          <a:endParaRPr lang="ko-KR" altLang="en-US"/>
        </a:p>
        <a:p>
          <a:r>
            <a:rPr lang="ko-KR" altLang="en-US"/>
            <a:t>* </a:t>
          </a:r>
          <a:r>
            <a:rPr lang="en-US" altLang="ko-KR"/>
            <a:t>[</a:t>
          </a:r>
          <a:r>
            <a:rPr lang="ko-KR" altLang="en-US"/>
            <a:t>해결전략 </a:t>
          </a:r>
          <a:r>
            <a:rPr lang="en-US" altLang="ko-KR"/>
            <a:t>2]</a:t>
          </a:r>
          <a:r>
            <a:rPr lang="ko-KR" altLang="en-US"/>
            <a:t>에서 그룹의 수가 작은 것부터 처리하기</a:t>
          </a:r>
        </a:p>
        <a:p>
          <a:r>
            <a:rPr lang="ko-KR" altLang="en-US"/>
            <a:t>                   </a:t>
          </a:r>
          <a:r>
            <a:rPr lang="en-US" altLang="ko-KR"/>
            <a:t>&lt;ver01&gt;    &lt;ver02&gt;    &lt;ver03&gt;</a:t>
          </a:r>
        </a:p>
        <a:p>
          <a:r>
            <a:rPr lang="en-US" altLang="ko-KR"/>
            <a:t>seed :   5  SCORE: 3001673(</a:t>
          </a:r>
          <a:r>
            <a:rPr lang="ko-KR" altLang="en-US"/>
            <a:t>최적해</a:t>
          </a:r>
          <a:r>
            <a:rPr lang="en-US" altLang="ko-KR"/>
            <a:t>)</a:t>
          </a:r>
        </a:p>
        <a:p>
          <a:r>
            <a:rPr lang="en-US" altLang="ko-KR"/>
            <a:t>seed :  32  SCORE: 3011024 =&gt; 3011261 =&gt; 3011679</a:t>
          </a:r>
        </a:p>
        <a:p>
          <a:r>
            <a:rPr lang="en-US" altLang="ko-KR"/>
            <a:t>seed : 176  SCORE: 3022040 =&gt; 3022226 =&gt; 3022447</a:t>
          </a:r>
        </a:p>
        <a:p>
          <a:r>
            <a:rPr lang="en-US" altLang="ko-KR"/>
            <a:t>PASS</a:t>
          </a:r>
        </a:p>
        <a:p>
          <a:endParaRPr lang="en-US" altLang="ko-KR"/>
        </a:p>
        <a:p>
          <a:endParaRPr lang="en-US" altLang="ko-KR"/>
        </a:p>
        <a:p>
          <a:r>
            <a:rPr lang="en-US" altLang="ko-KR" b="1"/>
            <a:t>[</a:t>
          </a:r>
          <a:r>
            <a:rPr lang="ko-KR" altLang="en-US" b="1"/>
            <a:t>해결전략 </a:t>
          </a:r>
          <a:r>
            <a:rPr lang="en-US" altLang="ko-KR" b="1"/>
            <a:t>4]</a:t>
          </a:r>
          <a:endParaRPr lang="ko-KR" altLang="en-US"/>
        </a:p>
        <a:p>
          <a:r>
            <a:rPr lang="ko-KR" altLang="en-US"/>
            <a:t>* </a:t>
          </a:r>
          <a:r>
            <a:rPr lang="en-US" altLang="ko-KR"/>
            <a:t>[</a:t>
          </a:r>
          <a:r>
            <a:rPr lang="ko-KR" altLang="en-US"/>
            <a:t>해결전략 </a:t>
          </a:r>
          <a:r>
            <a:rPr lang="en-US" altLang="ko-KR"/>
            <a:t>3]</a:t>
          </a:r>
          <a:r>
            <a:rPr lang="ko-KR" altLang="en-US"/>
            <a:t>에서 각 루트 그룹</a:t>
          </a:r>
          <a:r>
            <a:rPr lang="ko-KR" altLang="en-US" baseline="0"/>
            <a:t>별로 멤버들을</a:t>
          </a:r>
          <a:r>
            <a:rPr lang="ko-KR" altLang="en-US"/>
            <a:t>  </a:t>
          </a:r>
          <a:r>
            <a:rPr lang="en-US" altLang="ko-KR"/>
            <a:t>score </a:t>
          </a:r>
          <a:r>
            <a:rPr lang="ko-KR" altLang="en-US"/>
            <a:t>의 내림차순으로 정렬후 최적조합 찾기</a:t>
          </a:r>
        </a:p>
        <a:p>
          <a:r>
            <a:rPr lang="ko-KR" altLang="en-US"/>
            <a:t>                   </a:t>
          </a:r>
          <a:r>
            <a:rPr lang="en-US" altLang="ko-KR"/>
            <a:t>&lt;ver01&gt;    &lt;ver02&gt;    &lt;ver03&gt;    &lt;ver04&gt;</a:t>
          </a:r>
        </a:p>
        <a:p>
          <a:r>
            <a:rPr lang="en-US" altLang="ko-KR"/>
            <a:t>seed :   5  SCORE: 3001673(</a:t>
          </a:r>
          <a:r>
            <a:rPr lang="ko-KR" altLang="en-US"/>
            <a:t>최적해</a:t>
          </a:r>
          <a:r>
            <a:rPr lang="en-US" altLang="ko-KR"/>
            <a:t>)</a:t>
          </a:r>
        </a:p>
        <a:p>
          <a:r>
            <a:rPr lang="en-US" altLang="ko-KR"/>
            <a:t>seed :  32  SCORE: 3011024 =&gt; 3011261 =&gt; 3011679 =&gt; 3011789</a:t>
          </a:r>
        </a:p>
        <a:p>
          <a:r>
            <a:rPr lang="en-US" altLang="ko-KR"/>
            <a:t>seed : 176  SCORE: 3022040 =&gt; 3022226 =&gt; 3022447 =&gt; 3022616</a:t>
          </a:r>
        </a:p>
        <a:p>
          <a:endParaRPr lang="en-US" altLang="ko-KR"/>
        </a:p>
        <a:p>
          <a:endParaRPr lang="en-US" altLang="ko-KR"/>
        </a:p>
        <a:p>
          <a:r>
            <a:rPr lang="en-US" altLang="ko-KR" b="1"/>
            <a:t>[</a:t>
          </a:r>
          <a:r>
            <a:rPr lang="ko-KR" altLang="en-US" b="1"/>
            <a:t>후기</a:t>
          </a:r>
          <a:r>
            <a:rPr lang="en-US" altLang="ko-KR" b="1"/>
            <a:t>]</a:t>
          </a:r>
          <a:endParaRPr lang="ko-KR" altLang="en-US"/>
        </a:p>
        <a:p>
          <a:r>
            <a:rPr lang="en-US" altLang="ko-KR"/>
            <a:t>SEED = 5</a:t>
          </a:r>
          <a:r>
            <a:rPr lang="ko-KR" altLang="en-US"/>
            <a:t>를 기준으로 합격 컷은 </a:t>
          </a:r>
          <a:r>
            <a:rPr lang="en-US" altLang="ko-KR"/>
            <a:t>3001673</a:t>
          </a:r>
          <a:r>
            <a:rPr lang="ko-KR" altLang="en-US"/>
            <a:t>점으로 보인다</a:t>
          </a:r>
          <a:r>
            <a:rPr lang="en-US" altLang="ko-KR"/>
            <a:t>.</a:t>
          </a:r>
        </a:p>
        <a:p>
          <a:r>
            <a:rPr lang="en-US" altLang="ko-KR"/>
            <a:t>SEED = 5</a:t>
          </a:r>
          <a:r>
            <a:rPr lang="ko-KR" altLang="en-US"/>
            <a:t>에서 </a:t>
          </a:r>
          <a:r>
            <a:rPr lang="en-US" altLang="ko-KR"/>
            <a:t>3001673</a:t>
          </a:r>
          <a:r>
            <a:rPr lang="ko-KR" altLang="en-US"/>
            <a:t>은 최적해이다</a:t>
          </a:r>
          <a:r>
            <a:rPr lang="en-US" altLang="ko-KR"/>
            <a:t>.</a:t>
          </a:r>
        </a:p>
        <a:p>
          <a:endParaRPr lang="en-US" altLang="ko-KR">
            <a:latin typeface="D2Coding" panose="020B0609020101020101" pitchFamily="49" charset="-127"/>
            <a:ea typeface="D2Coding" panose="020B0609020101020101" pitchFamily="49" charset="-127"/>
          </a:endParaRPr>
        </a:p>
        <a:p>
          <a:endParaRPr lang="en-US" altLang="ko-KR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>
              <a:latin typeface="D2Coding" panose="020B0609020101020101" pitchFamily="49" charset="-127"/>
              <a:ea typeface="D2Coding" panose="020B0609020101020101" pitchFamily="49" charset="-127"/>
            </a:rPr>
            <a:t>[</a:t>
          </a:r>
          <a:r>
            <a:rPr lang="ko-KR" altLang="en-US">
              <a:latin typeface="D2Coding" panose="020B0609020101020101" pitchFamily="49" charset="-127"/>
              <a:ea typeface="D2Coding" panose="020B0609020101020101" pitchFamily="49" charset="-127"/>
            </a:rPr>
            <a:t>후기</a:t>
          </a:r>
          <a:r>
            <a:rPr lang="en-US" altLang="ko-KR">
              <a:latin typeface="D2Coding" panose="020B0609020101020101" pitchFamily="49" charset="-127"/>
              <a:ea typeface="D2Coding" panose="020B0609020101020101" pitchFamily="49" charset="-127"/>
            </a:rPr>
            <a:t>]</a:t>
          </a:r>
        </a:p>
        <a:p>
          <a:r>
            <a:rPr lang="en-US" altLang="ko-KR">
              <a:latin typeface="D2Coding" panose="020B0609020101020101" pitchFamily="49" charset="-127"/>
              <a:ea typeface="D2Coding" panose="020B0609020101020101" pitchFamily="49" charset="-127"/>
            </a:rPr>
            <a:t>SEED = 5</a:t>
          </a:r>
          <a:r>
            <a:rPr lang="ko-KR" altLang="en-US">
              <a:latin typeface="D2Coding" panose="020B0609020101020101" pitchFamily="49" charset="-127"/>
              <a:ea typeface="D2Coding" panose="020B0609020101020101" pitchFamily="49" charset="-127"/>
            </a:rPr>
            <a:t>를 기준으로 합격 컷은 </a:t>
          </a:r>
          <a:r>
            <a:rPr lang="en-US" altLang="ko-KR">
              <a:latin typeface="D2Coding" panose="020B0609020101020101" pitchFamily="49" charset="-127"/>
              <a:ea typeface="D2Coding" panose="020B0609020101020101" pitchFamily="49" charset="-127"/>
            </a:rPr>
            <a:t>3001673</a:t>
          </a:r>
          <a:r>
            <a:rPr lang="ko-KR" altLang="en-US">
              <a:latin typeface="D2Coding" panose="020B0609020101020101" pitchFamily="49" charset="-127"/>
              <a:ea typeface="D2Coding" panose="020B0609020101020101" pitchFamily="49" charset="-127"/>
            </a:rPr>
            <a:t>점으로 보인다</a:t>
          </a:r>
          <a:r>
            <a:rPr lang="en-US" altLang="ko-KR">
              <a:latin typeface="D2Coding" panose="020B0609020101020101" pitchFamily="49" charset="-127"/>
              <a:ea typeface="D2Coding" panose="020B0609020101020101" pitchFamily="49" charset="-127"/>
            </a:rPr>
            <a:t>. (</a:t>
          </a:r>
          <a:r>
            <a:rPr lang="ko-KR" altLang="en-US">
              <a:latin typeface="D2Coding" panose="020B0609020101020101" pitchFamily="49" charset="-127"/>
              <a:ea typeface="D2Coding" panose="020B0609020101020101" pitchFamily="49" charset="-127"/>
            </a:rPr>
            <a:t>비공식정보</a:t>
          </a:r>
          <a:r>
            <a:rPr lang="en-US" altLang="ko-KR">
              <a:latin typeface="D2Coding" panose="020B0609020101020101" pitchFamily="49" charset="-127"/>
              <a:ea typeface="D2Coding" panose="020B0609020101020101" pitchFamily="49" charset="-127"/>
            </a:rPr>
            <a:t>)</a:t>
          </a: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77382</xdr:colOff>
      <xdr:row>1</xdr:row>
      <xdr:rowOff>62866</xdr:rowOff>
    </xdr:from>
    <xdr:to>
      <xdr:col>11</xdr:col>
      <xdr:colOff>228599</xdr:colOff>
      <xdr:row>80</xdr:row>
      <xdr:rowOff>167640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7897830-D3F8-4FD1-B909-4117601CBE84}"/>
            </a:ext>
          </a:extLst>
        </xdr:cNvPr>
        <xdr:cNvSpPr txBox="1"/>
      </xdr:nvSpPr>
      <xdr:spPr>
        <a:xfrm>
          <a:off x="744132" y="281941"/>
          <a:ext cx="6818717" cy="174116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[</a:t>
          </a:r>
          <a:r>
            <a:rPr lang="ko-KR" altLang="en-US" sz="1100" b="1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문제 구조</a:t>
          </a:r>
          <a:r>
            <a:rPr lang="en-US" altLang="ko-KR" sz="1100" b="1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]</a:t>
          </a:r>
          <a:endParaRPr lang="ko-KR" altLang="en-US" sz="1100" b="1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1. TC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수와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SEED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를 입력 받아 처리한다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 #####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새로 등장한 구조</a:t>
          </a: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TC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단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1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초의 제한시간이 주어진다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    #####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새로 등장한 구조</a:t>
          </a: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2. interactive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문제이다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main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에 정의된 트럭으로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main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에 정의된 도시에서 도시로</a:t>
          </a: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main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에 정의된 도로를 이용하여 이동하면서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main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에 정의된 화물을 운송한다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이때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main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에 정의된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API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함수를 이용한다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3.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점수는 낮을 수록 좋다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</a:p>
        <a:p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[</a:t>
          </a:r>
          <a:r>
            <a:rPr lang="ko-KR" altLang="en-US" sz="1100" b="1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문제 개요</a:t>
          </a:r>
          <a:r>
            <a:rPr lang="en-US" altLang="ko-KR" sz="1100" b="1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]</a:t>
          </a:r>
          <a:endParaRPr lang="ko-KR" altLang="en-US" sz="1100" b="1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1000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개의 도시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, 3000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개의 도로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간선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), 2000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개의 화물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, 1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개의 트럭이 주어진다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도로는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{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도시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1,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도시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2,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도로상태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:100~399,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아이디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}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속성을 갖으며 양방향이다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화물은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{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출발도시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도착도시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무게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:1~90 }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속성을 갖는다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트럭은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{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현재위치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화물포인터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}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를 갖으며 화물을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1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개씩 운송한다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트럭이 화물을 적재 또는 하역시에 화물무게의 제곱만큼 비용이 발생한다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트럭이 도로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간선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)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을 이동시에는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수선비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+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도로상태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) &gt;= (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화물무게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+10: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트럭무게로 볼수 있다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.)</a:t>
          </a:r>
          <a:b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</a:b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이라는 조건을 만족해야 한다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또한 이동 비용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( 10+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수선비*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화물무게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+10: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트럭무게로 볼수 있다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.))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이 발생한다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따라서 빈차로 이동하는데 도로상태가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0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이라면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10+10(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수선비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)*10 = 110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의 비용이 발생한다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또한 수선이 필요없다면 화물무게와 상관없이 이동비용은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10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이 된다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&lt;</a:t>
          </a:r>
          <a:r>
            <a:rPr lang="ko-KR" altLang="en-US" sz="1100" b="1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점수계산</a:t>
          </a:r>
          <a:r>
            <a:rPr lang="en-US" altLang="ko-KR" sz="1100" b="1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&gt;</a:t>
          </a:r>
          <a:endParaRPr lang="ko-KR" altLang="en-US" sz="1100" b="1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1. move() :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수선비용 *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(10 +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화물무게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) + 10 =&gt;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수선비용이 없다면 이동비용은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10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이다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2. load() :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화물무게 * 화물무게</a:t>
          </a: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3. unload() :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화물무게 * 화물무게</a:t>
          </a:r>
        </a:p>
        <a:p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[user</a:t>
          </a:r>
          <a:r>
            <a:rPr lang="ko-KR" altLang="en-US" sz="1100" b="1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가 작성할 </a:t>
          </a:r>
          <a:r>
            <a:rPr lang="en-US" altLang="ko-KR" sz="1100" b="1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API]</a:t>
          </a: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* process() :</a:t>
          </a: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main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에 정의된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API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함수를 이용하여 모든 화물을 목적지까지 이동하도록 프로세스를 완성하시오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[user</a:t>
          </a:r>
          <a:r>
            <a:rPr lang="ko-KR" altLang="en-US" sz="1100" b="1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가 사용하는 </a:t>
          </a:r>
          <a:r>
            <a:rPr lang="en-US" altLang="ko-KR" sz="1100" b="1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main</a:t>
          </a:r>
          <a:r>
            <a:rPr lang="ko-KR" altLang="en-US" sz="1100" b="1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에 정의된 </a:t>
          </a:r>
          <a:r>
            <a:rPr lang="en-US" altLang="ko-KR" sz="1100" b="1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API]</a:t>
          </a: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* bool move(int mRoadID, int repairNum);  !!! (10 +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수선비*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화물무게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+10))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의 비용발생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!!!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트럭이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mRoadID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도로를 이용하여 한쪽 도시에서 다른 한쪽 도시로 이동한다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도로 상태에 따라 수선비가 필요할 수 있다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* bool load(int mFreightID);              !!!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화물무게의 제곱 비용발생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!!!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트럭이 현재 위치에서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mFreightID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화물을 적재한다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* bool unload();                          !!!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화물무게의 제곱 비용발생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!!!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트럭이 현재 위치에 적재중인 화물을 하역한다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* void getRoadInfo(Road mRet[]);</a:t>
          </a:r>
        </a:p>
        <a:p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3000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개 도로 정보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도시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1,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도시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2,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도로상태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아이디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)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를 얻어온다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* void getFreightInfo(Freight mRet[]);</a:t>
          </a:r>
        </a:p>
        <a:p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2000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개 화물 정보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출발도시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도착도시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무게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)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를 얻어온다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endParaRPr lang="en-US" altLang="ko-KR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[</a:t>
          </a:r>
          <a:r>
            <a:rPr lang="ko-KR" altLang="en-US" sz="1100" b="1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문제 분석</a:t>
          </a:r>
          <a:r>
            <a:rPr lang="en-US" altLang="ko-KR" sz="1100" b="1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]</a:t>
          </a:r>
          <a:endParaRPr lang="ko-KR" altLang="en-US" sz="1100" b="1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1. TC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개수와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SEED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를 입력 받아 처리한다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 =&gt; TC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와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SEED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가 가변적이다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TC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당 제한시간은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1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초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(1000ms)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이다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2.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화물적재와 하역에 드는 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&lt;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화물무게 제곱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&gt;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의 비용은 상수로 볼수 있다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3.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도로 이동비용은 어떤 경로를 선택하는가에 따라 가변적이므로 변수이다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수선비용을 고려하면서 최소 비용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점수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)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으로 운송해야 한다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수선비용은 수선시점 화물의 무게에 비례한다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경로을 어떻게 결정하는가에 따라 비용이 달라지므로</a:t>
          </a:r>
        </a:p>
        <a:p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최단 거리 알고리즘을 이용한 문제해결이 필요하다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4.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도로를 이용하는데 수선하지 않는다면 이동비용은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10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이다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 !!!!!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모든 간선의 이동비용이 일정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같다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)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하고 도로가 손상되지도 않는다면</a:t>
          </a: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BFS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를 이용하여 문제를 해결할 수 있다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이때 최적해가 구해진다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하지만 간선의 이동비용도 간선마다 다르고 도로는 사용될때마다 손상되므로</a:t>
          </a:r>
        </a:p>
        <a:p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하나의 도로를 현재 이용하는 비용과 다음에 이용하는 비용이 다를 수 있다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이동비용은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10 +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수선비 *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화물 무게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+ 10)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이고</a:t>
          </a:r>
        </a:p>
        <a:p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도로상태는 이용시마다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화물무게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+10)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만큼 손상되기 때문이다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5.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모든 화물은 도착지에 도착하도록 그래프가 주어지는가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?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추가적인 조건이나 지문설명이 없고 간선은 양방향을 속성을 갖으며</a:t>
          </a: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main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의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init()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에서 매우 많은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최소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12000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번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)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random_shuffle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을 수행하므로</a:t>
          </a:r>
        </a:p>
        <a:p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1000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개의 도시중에 임의의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2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도시는 직접 또는 간접으로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다른도시를 거쳐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)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항상 연결된다고 짐작할 수 있다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비용을 최소화하기위해서는 변수인 운송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(move())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비용을 최소화 해야 한다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각 화물을 어떤 경로로 이동시켜야 할까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?</a:t>
          </a:r>
          <a:endParaRPr lang="ko-KR" altLang="ko-KR">
            <a:effectLst/>
            <a:latin typeface="D2Coding" panose="020B0609020101020101" pitchFamily="49" charset="-127"/>
            <a:ea typeface="D2Coding" panose="020B0609020101020101" pitchFamily="49" charset="-127"/>
          </a:endParaRPr>
        </a:p>
      </xdr:txBody>
    </xdr:sp>
    <xdr:clientData/>
  </xdr:twoCellAnchor>
  <xdr:twoCellAnchor>
    <xdr:from>
      <xdr:col>11</xdr:col>
      <xdr:colOff>382182</xdr:colOff>
      <xdr:row>1</xdr:row>
      <xdr:rowOff>55244</xdr:rowOff>
    </xdr:from>
    <xdr:to>
      <xdr:col>23</xdr:col>
      <xdr:colOff>361950</xdr:colOff>
      <xdr:row>85</xdr:row>
      <xdr:rowOff>99059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606AC85-6488-4857-875F-7AEE67E96661}"/>
            </a:ext>
          </a:extLst>
        </xdr:cNvPr>
        <xdr:cNvSpPr txBox="1"/>
      </xdr:nvSpPr>
      <xdr:spPr>
        <a:xfrm>
          <a:off x="7716432" y="274319"/>
          <a:ext cx="7980768" cy="184461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[Analysis]</a:t>
          </a:r>
        </a:p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1.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그래프 구성 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: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인접배열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?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인접리스트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?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인접행렬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? =&gt;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인접배열</a:t>
          </a:r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2.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상하역 비용은 상수이므로 비용계산이 쉽다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3.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도로에 수선이 필요없다고 가정하면</a:t>
          </a:r>
        </a:p>
        <a:p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   모든 도로는 이동비용이 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10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으로 일정하다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이를 이용하여 모든 화물을 목적지까지 운송하는데 필요한</a:t>
          </a:r>
        </a:p>
        <a:p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   총비용의 하한을 가능해 볼 수 있다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&lt;BFS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로 화물을 운송하기 프로세스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&gt;</a:t>
          </a:r>
        </a:p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1. getRoadInfo(Road mRet[])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모든 도로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(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간선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)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정보를 얻고 그래프를 구성한다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. =&gt;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인접배열로 그래프 구성</a:t>
          </a:r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2. getFreightInfo(Freight mRet[])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화물정보를 얻고 각 도시별 배송화물 목록를 만든다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이때 출발지와 도착지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(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목적지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)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가 같은 화물은 목록에 포함시키지 않는다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. =&gt; EX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화물기차의 경험을 살려서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...</a:t>
          </a:r>
        </a:p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3.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간선의 비용을 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10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으로 고정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,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도로의 내구도 손상을 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0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으로 하였으므로</a:t>
          </a:r>
        </a:p>
        <a:p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   배송의 우선순위는 생각할 필요 없다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4.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트럭은 다음과 같이 운송한다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1)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트럭의 현재위치에서 가장 가까운 배송할 화물이 있는 도시로 이동한다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  <a:endParaRPr lang="en-US" altLang="ko-KR" sz="1100" baseline="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 baseline="0">
              <a:latin typeface="D2Coding" panose="020B0609020101020101" pitchFamily="49" charset="-127"/>
              <a:ea typeface="D2Coding" panose="020B0609020101020101" pitchFamily="49" charset="-127"/>
            </a:rPr>
            <a:t>      =&gt; </a:t>
          </a:r>
          <a:r>
            <a:rPr lang="ko-KR" altLang="en-US" sz="1100" baseline="0">
              <a:latin typeface="D2Coding" panose="020B0609020101020101" pitchFamily="49" charset="-127"/>
              <a:ea typeface="D2Coding" panose="020B0609020101020101" pitchFamily="49" charset="-127"/>
            </a:rPr>
            <a:t>빈 트럭 이동을 최소화 하기 위하여</a:t>
          </a:r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2)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하나의 화물을 적재하고 목적지로 배송한다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   3)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모든 화물이 도착지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(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목적지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)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에 도달할때까지 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1), 2)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프로세스를 반복한다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TC: 1, SEED: 1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에서 점수는 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11'120'398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이므로</a:t>
          </a:r>
        </a:p>
        <a:p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실제 비용은 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11'120'398 </a:t>
          </a:r>
          <a:r>
            <a:rPr lang="ko-KR" altLang="en-US" sz="1100">
              <a:latin typeface="D2Coding" panose="020B0609020101020101" pitchFamily="49" charset="-127"/>
              <a:ea typeface="D2Coding" panose="020B0609020101020101" pitchFamily="49" charset="-127"/>
            </a:rPr>
            <a:t>보다는 높다</a:t>
          </a:r>
          <a:r>
            <a:rPr lang="en-US" altLang="ko-KR" sz="1100">
              <a:latin typeface="D2Coding" panose="020B0609020101020101" pitchFamily="49" charset="-127"/>
              <a:ea typeface="D2Coding" panose="020B0609020101020101" pitchFamily="49" charset="-127"/>
            </a:rPr>
            <a:t>.</a:t>
          </a:r>
        </a:p>
        <a:p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 b="1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[sketchCode]</a:t>
          </a: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1.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간선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도로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)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정보를 이용하여 그래프를 구성한다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: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노드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도시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)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별로 인접노드 목록을 만든다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2.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출발지별로 화물을 무게의 오름차순으로 정렬시킨다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 cargoByNodes[][]</a:t>
          </a: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3.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트럭의 현재위치에서 가장 무거운 화물을 이동시킨다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* 이유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: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시간이 지나 수선이 필요할 때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무게가 가벼울수록 수선비용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(repairNum * weigth)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이</a:t>
          </a:r>
        </a:p>
        <a:p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                작아질 가능성이 높아질 것으로 예측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        *****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 * 이동경로는 최단거리알고리즘을 이용하여 선택한다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 *****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        우선순위는</a:t>
          </a: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             # 1st_Asc :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이동비용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= totWei (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화물무게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+10)* repairNum + 10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             # 2nd_Desc : statusSum: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가능하면 여유가 있는 경로를 경유 </a:t>
          </a:r>
          <a:r>
            <a:rPr lang="en-US" altLang="ko-KR" sz="110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*****</a:t>
          </a:r>
          <a:endParaRPr lang="ko-KR" altLang="ko-KR">
            <a:effectLst/>
            <a:latin typeface="D2Coding" panose="020B0609020101020101" pitchFamily="49" charset="-127"/>
            <a:ea typeface="D2Coding" panose="020B0609020101020101" pitchFamily="49" charset="-127"/>
          </a:endParaRPr>
        </a:p>
        <a:p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 * 경로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path[]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를 저장해두면 역추적하여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main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의 트럭을 이동시킬 수 있다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4.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트럭의 현재위치에 이동시킬 화물이 없는 경우</a:t>
          </a:r>
          <a:b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</a:b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가장 무거운 화물이 있는 가장 가까운도시로 이동시킨다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    =&gt;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경험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:</a:t>
          </a:r>
          <a:r>
            <a:rPr lang="en-US" altLang="ko-KR" sz="1100" baseline="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EX</a:t>
          </a:r>
          <a:r>
            <a:rPr lang="ko-KR" altLang="en-US" sz="1100" baseline="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화물기차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5.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모든 화물이 목적지에 도달할 때까지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3~4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을 반복한다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SEED : 1, TC : 1, SCORE: 11'185'853</a:t>
          </a:r>
        </a:p>
        <a:p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 b="1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[</a:t>
          </a:r>
          <a:r>
            <a:rPr lang="ko-KR" altLang="en-US" sz="1100" b="1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해법연구 </a:t>
          </a:r>
          <a:r>
            <a:rPr lang="en-US" altLang="ko-KR" sz="1100" b="1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1]</a:t>
          </a:r>
          <a:endParaRPr lang="ko-KR" altLang="en-US" sz="1100" b="1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스케치코드에서는 트럭이 있는 도시에 화물이 없다면 화물이 있는 도시를 단순하게 탐색한다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이 부분을 개선하여 점수를 낮출 수 있다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가장 무거운 화물이 있는 도시를 찾는데 이러한 곳이 여럿이라면</a:t>
          </a:r>
        </a:p>
        <a:p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트럭의 현재 위치로부터 화물이 있는 도시까지 이동하는 우선순위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(1st.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비용낮고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, 2nd.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내구도합이높은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)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가</a:t>
          </a:r>
        </a:p>
        <a:p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높은 도시를 선택한다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SEED : 1, TC : 1, SCORE: 11'179'775</a:t>
          </a: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SEED : 1, TC : 10, SCORE: 111'184'975</a:t>
          </a: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PASS</a:t>
          </a:r>
        </a:p>
        <a:p>
          <a:endParaRPr lang="en-US" altLang="ko-KR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endParaRPr lang="en-US" altLang="ko-KR" sz="1100"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 b="1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[</a:t>
          </a:r>
          <a:r>
            <a:rPr lang="ko-KR" altLang="en-US" sz="1100" b="1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해법 연구</a:t>
          </a:r>
          <a:r>
            <a:rPr lang="en-US" altLang="ko-KR" sz="1100" b="1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2]</a:t>
          </a:r>
          <a:endParaRPr lang="ko-KR" altLang="en-US" sz="1100" b="1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각 도로를 필요할 때 마다 수선하지 않고 미리 수선하는 전략을 생각해 볼 수 있다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sketchCode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에서 다음과 같은 점수 개선 방법을 생각할 수 있다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1.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모든 배송을 바로 하지 않고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simulation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한다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이때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각 도로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간선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)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마다 필요한 수선비용과 이동 경로를  구해둔다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2.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시뮬레이션에서 구해둔 경로를 따라 배송하면서</a:t>
          </a:r>
        </a:p>
        <a:p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수선이 필요한 도로는 빈트럭일때 미리 수선한다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</a:p>
        <a:p>
          <a:endParaRPr lang="en-US" altLang="ko-KR" sz="1100" b="0">
            <a:solidFill>
              <a:schemeClr val="dk1"/>
            </a:solidFill>
            <a:effectLst/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SEED : 1, TC : 1,  SCORE:  11'177'414</a:t>
          </a: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SEED : 1, TC : 10, SCORE: 111'149'775</a:t>
          </a: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PASS</a:t>
          </a:r>
        </a:p>
        <a:p>
          <a:endParaRPr lang="en-US" altLang="ko-KR" sz="1100" b="0">
            <a:solidFill>
              <a:schemeClr val="dk1"/>
            </a:solidFill>
            <a:effectLst/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endParaRPr lang="en-US" altLang="ko-KR" sz="1100" b="0">
            <a:solidFill>
              <a:schemeClr val="dk1"/>
            </a:solidFill>
            <a:effectLst/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endParaRPr lang="en-US" altLang="ko-KR" sz="1100" b="0">
            <a:solidFill>
              <a:schemeClr val="dk1"/>
            </a:solidFill>
            <a:effectLst/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[</a:t>
          </a:r>
          <a:r>
            <a:rPr lang="ko-KR" altLang="ko-KR" sz="1100" b="1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해법 연구</a:t>
          </a:r>
          <a:r>
            <a:rPr lang="en-US" altLang="ko-KR" sz="1100" b="1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3]</a:t>
          </a:r>
          <a:endParaRPr lang="ko-KR" altLang="ko-KR">
            <a:effectLst/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1.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해법연구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2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와 같이 하는데 단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출발지와 목적지를 바꾸어 전 처리한다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2. 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결과의 역순으로 진행하면서 수선이 필요한 간선은 </a:t>
          </a:r>
        </a:p>
        <a:p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    </a:t>
          </a:r>
          <a:r>
            <a:rPr lang="ko-KR" altLang="en-US" sz="1100" b="1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각 간선별 최소 가중치일때 수선</a:t>
          </a:r>
          <a:r>
            <a:rPr lang="ko-KR" altLang="en-US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한다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</a:t>
          </a:r>
        </a:p>
        <a:p>
          <a:endParaRPr lang="ko-KR" altLang="en-US" sz="1100">
            <a:solidFill>
              <a:schemeClr val="dk1"/>
            </a:solidFill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SEED : 1, TC : 1,  SCORE:  11'177'414 =&gt; 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11'171'195</a:t>
          </a:r>
          <a:endParaRPr lang="ko-KR" altLang="ko-KR">
            <a:effectLst/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SEED : 1, TC : 10, SCORE: 111'149'775 </a:t>
          </a:r>
          <a:r>
            <a:rPr lang="en-US" altLang="ko-KR" sz="1100">
              <a:solidFill>
                <a:schemeClr val="dk1"/>
              </a:solidFill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=&gt; 111'140'661</a:t>
          </a:r>
          <a:endParaRPr lang="ko-KR" altLang="ko-KR">
            <a:effectLst/>
            <a:latin typeface="D2Coding" panose="020B0609020101020101" pitchFamily="49" charset="-127"/>
            <a:ea typeface="D2Coding" panose="020B0609020101020101" pitchFamily="49" charset="-127"/>
          </a:endParaRPr>
        </a:p>
        <a:p>
          <a:r>
            <a:rPr lang="en-US" altLang="ko-KR" sz="110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PASS</a:t>
          </a:r>
          <a:endParaRPr lang="ko-KR" altLang="ko-KR">
            <a:effectLst/>
            <a:latin typeface="D2Coding" panose="020B0609020101020101" pitchFamily="49" charset="-127"/>
            <a:ea typeface="D2Coding" panose="020B0609020101020101" pitchFamily="49" charset="-127"/>
          </a:endParaRPr>
        </a:p>
        <a:p>
          <a:endParaRPr lang="en-US" altLang="ko-KR" sz="1100" b="0">
            <a:solidFill>
              <a:schemeClr val="dk1"/>
            </a:solidFill>
            <a:effectLst/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endParaRPr lang="en-US" altLang="ko-KR" sz="1100" b="0">
            <a:solidFill>
              <a:schemeClr val="dk1"/>
            </a:solidFill>
            <a:effectLst/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endParaRPr lang="en-US" altLang="ko-KR" sz="1100" b="0">
            <a:solidFill>
              <a:schemeClr val="dk1"/>
            </a:solidFill>
            <a:effectLst/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endParaRPr lang="en-US" altLang="ko-KR" sz="1100" b="0">
            <a:solidFill>
              <a:schemeClr val="dk1"/>
            </a:solidFill>
            <a:effectLst/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r>
            <a:rPr lang="en-US" altLang="ko-KR" sz="1100" b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[</a:t>
          </a:r>
          <a:r>
            <a:rPr lang="ko-KR" altLang="en-US" sz="1100" b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후기</a:t>
          </a:r>
          <a:r>
            <a:rPr lang="en-US" altLang="ko-KR" sz="1100" b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]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시험장 점수 </a:t>
          </a:r>
          <a:r>
            <a:rPr lang="en-US" altLang="ko-KR" sz="1100" b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11'184'***</a:t>
          </a:r>
          <a:r>
            <a:rPr lang="en-US" altLang="ko-KR" sz="1100" b="0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</a:t>
          </a:r>
          <a:r>
            <a:rPr lang="ko-KR" altLang="en-US" sz="1100" b="0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은 고배를 </a:t>
          </a:r>
          <a:r>
            <a:rPr lang="en-US" altLang="ko-KR" sz="1100" b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11'180'***</a:t>
          </a:r>
          <a:r>
            <a:rPr lang="en-US" altLang="ko-KR" sz="1100" b="0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 </a:t>
          </a:r>
          <a:r>
            <a:rPr lang="ko-KR" altLang="en-US" sz="1100" b="0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은 축배를 마셨다고 함</a:t>
          </a:r>
          <a:r>
            <a:rPr lang="en-US" altLang="ko-KR" sz="1100" b="0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.  </a:t>
          </a:r>
          <a:r>
            <a:rPr lang="ko-KR" altLang="en-US" sz="1100" b="0" baseline="0">
              <a:solidFill>
                <a:schemeClr val="dk1"/>
              </a:solidFill>
              <a:effectLst/>
              <a:latin typeface="D2Coding" panose="020B0609020101020101" pitchFamily="49" charset="-127"/>
              <a:ea typeface="D2Coding" panose="020B0609020101020101" pitchFamily="49" charset="-127"/>
              <a:cs typeface="+mn-cs"/>
            </a:rPr>
            <a:t>ㅠㅠㅠ</a:t>
          </a:r>
          <a:endParaRPr lang="ko-KR" altLang="ko-KR">
            <a:effectLst/>
            <a:latin typeface="D2Coding" panose="020B0609020101020101" pitchFamily="49" charset="-127"/>
            <a:ea typeface="D2Coding" panose="020B0609020101020101" pitchFamily="49" charset="-127"/>
          </a:endParaRPr>
        </a:p>
        <a:p>
          <a:endParaRPr lang="en-US" altLang="ko-KR" sz="1100" b="0">
            <a:solidFill>
              <a:schemeClr val="dk1"/>
            </a:solidFill>
            <a:effectLst/>
            <a:latin typeface="D2Coding" panose="020B0609020101020101" pitchFamily="49" charset="-127"/>
            <a:ea typeface="D2Coding" panose="020B0609020101020101" pitchFamily="49" charset="-127"/>
            <a:cs typeface="+mn-cs"/>
          </a:endParaRPr>
        </a:p>
        <a:p>
          <a:endParaRPr lang="ko-KR" altLang="ko-KR">
            <a:effectLst/>
            <a:latin typeface="D2Coding" panose="020B0609020101020101" pitchFamily="49" charset="-127"/>
            <a:ea typeface="D2Coding" panose="020B0609020101020101" pitchFamily="49" charset="-127"/>
          </a:endParaRP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47104</xdr:colOff>
      <xdr:row>22</xdr:row>
      <xdr:rowOff>78828</xdr:rowOff>
    </xdr:from>
    <xdr:to>
      <xdr:col>20</xdr:col>
      <xdr:colOff>283839</xdr:colOff>
      <xdr:row>25</xdr:row>
      <xdr:rowOff>132235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32CEDF2-EF25-4B06-AD97-E99331697A43}"/>
            </a:ext>
          </a:extLst>
        </xdr:cNvPr>
        <xdr:cNvSpPr txBox="1"/>
      </xdr:nvSpPr>
      <xdr:spPr>
        <a:xfrm>
          <a:off x="961504" y="4940388"/>
          <a:ext cx="5479295" cy="7163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위 식을 </a:t>
          </a:r>
          <a:r>
            <a:rPr lang="en-US" altLang="ko-KR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A[i][j]</a:t>
          </a:r>
          <a:r>
            <a:rPr lang="ko-KR" alt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기준으로 정리하면 아래와 같다</a:t>
          </a:r>
          <a:r>
            <a:rPr lang="en-US" altLang="ko-KR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US" altLang="ko-KR" sz="2000" b="1" baseline="0">
              <a:solidFill>
                <a:srgbClr val="7030A0"/>
              </a:solidFill>
              <a:effectLst/>
              <a:latin typeface="+mn-lt"/>
              <a:ea typeface="+mn-ea"/>
              <a:cs typeface="+mn-cs"/>
            </a:rPr>
            <a:t>A[i][j]</a:t>
          </a:r>
          <a:r>
            <a:rPr lang="en-US" altLang="ko-KR" sz="2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</a:t>
          </a:r>
          <a:r>
            <a:rPr lang="en-US" altLang="ko-KR" sz="1800" b="1">
              <a:solidFill>
                <a:srgbClr val="FF0000"/>
              </a:solidFill>
            </a:rPr>
            <a:t>s[i][j]</a:t>
          </a:r>
          <a:r>
            <a:rPr lang="en-US" altLang="ko-KR" sz="1800" b="1"/>
            <a:t> - </a:t>
          </a:r>
          <a:r>
            <a:rPr lang="en-US" altLang="ko-KR" sz="1800" b="1">
              <a:solidFill>
                <a:schemeClr val="accent4"/>
              </a:solidFill>
              <a:effectLst/>
              <a:latin typeface="+mn-lt"/>
              <a:ea typeface="+mn-ea"/>
              <a:cs typeface="+mn-cs"/>
            </a:rPr>
            <a:t>s[i][j-1]</a:t>
          </a:r>
          <a:r>
            <a:rPr lang="en-US" altLang="ko-KR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en-US" altLang="ko-KR" sz="1800" b="1">
              <a:solidFill>
                <a:schemeClr val="accent5"/>
              </a:solidFill>
              <a:effectLst/>
              <a:latin typeface="+mn-lt"/>
              <a:ea typeface="+mn-ea"/>
              <a:cs typeface="+mn-cs"/>
            </a:rPr>
            <a:t>s[i-1][j]</a:t>
          </a:r>
          <a:r>
            <a:rPr lang="en-US" altLang="ko-KR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+ </a:t>
          </a:r>
          <a:r>
            <a:rPr lang="en-US" altLang="ko-KR" sz="1800" b="1" baseline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s[i-1][j-1]</a:t>
          </a:r>
          <a:r>
            <a:rPr lang="en-US" altLang="ko-KR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800" b="1" baseline="0"/>
            <a:t>;</a:t>
          </a:r>
          <a:endParaRPr lang="ko-KR" altLang="en-US" sz="1800" b="1"/>
        </a:p>
      </xdr:txBody>
    </xdr:sp>
    <xdr:clientData/>
  </xdr:twoCellAnchor>
  <xdr:twoCellAnchor>
    <xdr:from>
      <xdr:col>21</xdr:col>
      <xdr:colOff>81607</xdr:colOff>
      <xdr:row>29</xdr:row>
      <xdr:rowOff>49267</xdr:rowOff>
    </xdr:from>
    <xdr:to>
      <xdr:col>25</xdr:col>
      <xdr:colOff>237242</xdr:colOff>
      <xdr:row>33</xdr:row>
      <xdr:rowOff>244567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DFE53025-5656-435D-9214-345169271B72}"/>
            </a:ext>
          </a:extLst>
        </xdr:cNvPr>
        <xdr:cNvSpPr/>
      </xdr:nvSpPr>
      <xdr:spPr>
        <a:xfrm>
          <a:off x="6543367" y="6457687"/>
          <a:ext cx="1374835" cy="140688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65942</xdr:colOff>
      <xdr:row>31</xdr:row>
      <xdr:rowOff>51289</xdr:rowOff>
    </xdr:from>
    <xdr:to>
      <xdr:col>29</xdr:col>
      <xdr:colOff>43962</xdr:colOff>
      <xdr:row>37</xdr:row>
      <xdr:rowOff>14654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8C0DB64A-7C5E-4E9E-A4BA-8CC32F59E85B}"/>
            </a:ext>
          </a:extLst>
        </xdr:cNvPr>
        <xdr:cNvSpPr/>
      </xdr:nvSpPr>
      <xdr:spPr>
        <a:xfrm>
          <a:off x="7137302" y="7099789"/>
          <a:ext cx="1806820" cy="1540705"/>
        </a:xfrm>
        <a:prstGeom prst="rect">
          <a:avLst/>
        </a:prstGeom>
        <a:noFill/>
        <a:ln w="28575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32894</xdr:colOff>
      <xdr:row>32</xdr:row>
      <xdr:rowOff>30292</xdr:rowOff>
    </xdr:from>
    <xdr:to>
      <xdr:col>31</xdr:col>
      <xdr:colOff>26194</xdr:colOff>
      <xdr:row>39</xdr:row>
      <xdr:rowOff>56250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8BBBABA3-B261-464A-A44C-18860591EA07}"/>
            </a:ext>
          </a:extLst>
        </xdr:cNvPr>
        <xdr:cNvSpPr/>
      </xdr:nvSpPr>
      <xdr:spPr>
        <a:xfrm>
          <a:off x="7409054" y="7398832"/>
          <a:ext cx="2126900" cy="1786178"/>
        </a:xfrm>
        <a:prstGeom prst="rect">
          <a:avLst/>
        </a:prstGeom>
        <a:noFill/>
        <a:ln w="28575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102577</xdr:colOff>
      <xdr:row>26</xdr:row>
      <xdr:rowOff>115955</xdr:rowOff>
    </xdr:from>
    <xdr:to>
      <xdr:col>23</xdr:col>
      <xdr:colOff>131884</xdr:colOff>
      <xdr:row>28</xdr:row>
      <xdr:rowOff>109904</xdr:rowOff>
    </xdr:to>
    <xdr:sp macro="" textlink="">
      <xdr:nvSpPr>
        <xdr:cNvPr id="6" name="아래로 구부러진 화살표 11">
          <a:extLst>
            <a:ext uri="{FF2B5EF4-FFF2-40B4-BE49-F238E27FC236}">
              <a16:creationId xmlns:a16="http://schemas.microsoft.com/office/drawing/2014/main" id="{FB8B7B13-4B5C-4B3A-B8D2-838F78376FBA}"/>
            </a:ext>
          </a:extLst>
        </xdr:cNvPr>
        <xdr:cNvSpPr/>
      </xdr:nvSpPr>
      <xdr:spPr>
        <a:xfrm>
          <a:off x="3158197" y="5861435"/>
          <a:ext cx="4045047" cy="435909"/>
        </a:xfrm>
        <a:prstGeom prst="curved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51409</xdr:colOff>
      <xdr:row>20</xdr:row>
      <xdr:rowOff>17421</xdr:rowOff>
    </xdr:from>
    <xdr:to>
      <xdr:col>18</xdr:col>
      <xdr:colOff>85682</xdr:colOff>
      <xdr:row>22</xdr:row>
      <xdr:rowOff>17423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311C3D9-F85E-4560-BF5B-0532197AD322}"/>
            </a:ext>
          </a:extLst>
        </xdr:cNvPr>
        <xdr:cNvSpPr txBox="1"/>
      </xdr:nvSpPr>
      <xdr:spPr>
        <a:xfrm>
          <a:off x="965809" y="4437021"/>
          <a:ext cx="4667233" cy="44196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aseline="0"/>
            <a:t>2D prefix_sum   </a:t>
          </a:r>
        </a:p>
        <a:p>
          <a:r>
            <a:rPr lang="en-US" altLang="ko-KR" sz="1100" b="1" baseline="0">
              <a:solidFill>
                <a:schemeClr val="tx1"/>
              </a:solidFill>
            </a:rPr>
            <a:t>   </a:t>
          </a:r>
          <a:r>
            <a:rPr lang="en-US" altLang="ko-KR" sz="1100" b="1" baseline="0">
              <a:solidFill>
                <a:srgbClr val="FF0000"/>
              </a:solidFill>
            </a:rPr>
            <a:t>S[i][j]</a:t>
          </a:r>
          <a:r>
            <a:rPr lang="en-US" altLang="ko-KR" sz="1100" b="1" baseline="0">
              <a:solidFill>
                <a:schemeClr val="tx1"/>
              </a:solidFill>
            </a:rPr>
            <a:t> = </a:t>
          </a:r>
          <a:r>
            <a:rPr lang="en-US" altLang="ko-KR" sz="1100" b="1" baseline="0">
              <a:solidFill>
                <a:schemeClr val="accent4"/>
              </a:solidFill>
            </a:rPr>
            <a:t>S[i][j-1]</a:t>
          </a:r>
          <a:r>
            <a:rPr lang="en-US" altLang="ko-KR" sz="1100" b="1" baseline="0">
              <a:solidFill>
                <a:schemeClr val="tx1"/>
              </a:solidFill>
            </a:rPr>
            <a:t> + </a:t>
          </a:r>
          <a:r>
            <a:rPr lang="en-US" altLang="ko-KR" sz="1100" b="1" baseline="0">
              <a:solidFill>
                <a:schemeClr val="accent5"/>
              </a:solidFill>
            </a:rPr>
            <a:t>S[i-1][j]</a:t>
          </a:r>
          <a:r>
            <a:rPr lang="en-US" altLang="ko-KR" sz="1100" b="1" baseline="0">
              <a:solidFill>
                <a:schemeClr val="tx1"/>
              </a:solidFill>
            </a:rPr>
            <a:t> - </a:t>
          </a:r>
          <a:r>
            <a:rPr lang="en-US" altLang="ko-KR" sz="1100" b="1" baseline="0">
              <a:solidFill>
                <a:schemeClr val="accent6">
                  <a:lumMod val="75000"/>
                </a:schemeClr>
              </a:solidFill>
            </a:rPr>
            <a:t>S[i-1][j-1]</a:t>
          </a:r>
          <a:r>
            <a:rPr lang="en-US" altLang="ko-KR" sz="1100" b="1" baseline="0">
              <a:solidFill>
                <a:schemeClr val="tx1"/>
              </a:solidFill>
            </a:rPr>
            <a:t> + </a:t>
          </a:r>
          <a:r>
            <a:rPr lang="en-US" altLang="ko-KR" sz="1100" b="1" baseline="0">
              <a:solidFill>
                <a:srgbClr val="7030A0"/>
              </a:solidFill>
            </a:rPr>
            <a:t>A[i][j]</a:t>
          </a:r>
        </a:p>
      </xdr:txBody>
    </xdr:sp>
    <xdr:clientData/>
  </xdr:twoCellAnchor>
  <xdr:twoCellAnchor>
    <xdr:from>
      <xdr:col>1</xdr:col>
      <xdr:colOff>246895</xdr:colOff>
      <xdr:row>42</xdr:row>
      <xdr:rowOff>16565</xdr:rowOff>
    </xdr:from>
    <xdr:to>
      <xdr:col>18</xdr:col>
      <xdr:colOff>168827</xdr:colOff>
      <xdr:row>46</xdr:row>
      <xdr:rowOff>171450</xdr:rowOff>
    </xdr:to>
    <xdr:sp macro="" textlink="">
      <xdr:nvSpPr>
        <xdr:cNvPr id="8" name="포인트가 16개인 별 13">
          <a:extLst>
            <a:ext uri="{FF2B5EF4-FFF2-40B4-BE49-F238E27FC236}">
              <a16:creationId xmlns:a16="http://schemas.microsoft.com/office/drawing/2014/main" id="{D1008E5E-0ACF-4BA3-BE9A-9906C28C5789}"/>
            </a:ext>
          </a:extLst>
        </xdr:cNvPr>
        <xdr:cNvSpPr/>
      </xdr:nvSpPr>
      <xdr:spPr>
        <a:xfrm>
          <a:off x="551695" y="9899705"/>
          <a:ext cx="5164492" cy="1160725"/>
        </a:xfrm>
        <a:prstGeom prst="star16">
          <a:avLst>
            <a:gd name="adj" fmla="val 4759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1100"/>
            <a:t>아래 그림은</a:t>
          </a:r>
          <a:endParaRPr lang="en-US" altLang="ko-KR" sz="1100"/>
        </a:p>
        <a:p>
          <a:pPr algn="ctr"/>
          <a:r>
            <a:rPr lang="ko-KR" altLang="en-US" sz="1100"/>
            <a:t>한 변의 길이가 </a:t>
          </a:r>
          <a:r>
            <a:rPr lang="en-US" altLang="ko-KR" sz="1100"/>
            <a:t>5</a:t>
          </a:r>
          <a:r>
            <a:rPr lang="ko-KR" altLang="en-US" sz="1100"/>
            <a:t>이상인 </a:t>
          </a:r>
          <a:r>
            <a:rPr lang="en-US" altLang="ko-KR" sz="1100"/>
            <a:t>2</a:t>
          </a:r>
          <a:r>
            <a:rPr lang="ko-KR" altLang="en-US" sz="1100"/>
            <a:t>개의 사각형을 그린그림이다</a:t>
          </a:r>
          <a:r>
            <a:rPr lang="en-US" altLang="ko-KR" sz="1100"/>
            <a:t>.</a:t>
          </a:r>
        </a:p>
        <a:p>
          <a:pPr algn="ctr"/>
          <a:r>
            <a:rPr lang="ko-KR" altLang="en-US" sz="1100"/>
            <a:t>정사각형은 몇개일까</a:t>
          </a:r>
          <a:r>
            <a:rPr lang="en-US" altLang="ko-KR" sz="1100"/>
            <a:t>?</a:t>
          </a:r>
          <a:endParaRPr lang="ko-KR" altLang="en-US" sz="1100"/>
        </a:p>
      </xdr:txBody>
    </xdr:sp>
    <xdr:clientData/>
  </xdr:twoCellAnchor>
  <xdr:twoCellAnchor>
    <xdr:from>
      <xdr:col>2</xdr:col>
      <xdr:colOff>0</xdr:colOff>
      <xdr:row>3</xdr:row>
      <xdr:rowOff>0</xdr:rowOff>
    </xdr:from>
    <xdr:to>
      <xdr:col>23</xdr:col>
      <xdr:colOff>151381</xdr:colOff>
      <xdr:row>18</xdr:row>
      <xdr:rowOff>238125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55F099B-B355-4253-929C-9FC074A5727A}"/>
            </a:ext>
          </a:extLst>
        </xdr:cNvPr>
        <xdr:cNvSpPr txBox="1"/>
      </xdr:nvSpPr>
      <xdr:spPr>
        <a:xfrm>
          <a:off x="609600" y="662940"/>
          <a:ext cx="6613141" cy="35375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[</a:t>
          </a:r>
          <a:r>
            <a:rPr lang="ko-KR" altLang="en-US" sz="1100"/>
            <a:t>문제 개요</a:t>
          </a:r>
          <a:r>
            <a:rPr lang="en-US" altLang="ko-KR" sz="1100"/>
            <a:t>]</a:t>
          </a:r>
        </a:p>
        <a:p>
          <a:r>
            <a:rPr lang="en-US" altLang="ko-KR" sz="1100"/>
            <a:t>*</a:t>
          </a:r>
          <a:r>
            <a:rPr lang="en-US" altLang="ko-KR" sz="1100" baseline="0"/>
            <a:t> TC 10000</a:t>
          </a:r>
          <a:r>
            <a:rPr lang="ko-KR" altLang="en-US" sz="1100" baseline="0"/>
            <a:t>개 중에 </a:t>
          </a:r>
          <a:r>
            <a:rPr lang="en-US" altLang="ko-KR" sz="1100" baseline="0"/>
            <a:t>8200 </a:t>
          </a:r>
          <a:r>
            <a:rPr lang="ko-KR" altLang="en-US" sz="1100" baseline="0"/>
            <a:t>이상을 맞춰야 </a:t>
          </a:r>
          <a:r>
            <a:rPr lang="en-US" altLang="ko-KR" sz="1100" baseline="0"/>
            <a:t>PASS</a:t>
          </a:r>
          <a:r>
            <a:rPr lang="ko-KR" altLang="en-US" sz="1100" baseline="0"/>
            <a:t>를 얻는다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* </a:t>
          </a:r>
          <a:r>
            <a:rPr lang="ko-KR" altLang="en-US" sz="1100" baseline="0"/>
            <a:t>하나의 </a:t>
          </a:r>
          <a:r>
            <a:rPr lang="en-US" altLang="ko-KR" sz="1100" baseline="0"/>
            <a:t>TC</a:t>
          </a:r>
          <a:r>
            <a:rPr lang="ko-KR" altLang="en-US" sz="1100" baseline="0"/>
            <a:t>에는 한변의 길이가 </a:t>
          </a:r>
          <a:r>
            <a:rPr lang="en-US" altLang="ko-KR" sz="1100" baseline="0"/>
            <a:t>10</a:t>
          </a:r>
          <a:r>
            <a:rPr lang="ko-KR" altLang="en-US" sz="1100" baseline="0"/>
            <a:t>이상인 직사각형 </a:t>
          </a:r>
          <a:r>
            <a:rPr lang="en-US" altLang="ko-KR" sz="1100" baseline="0"/>
            <a:t>50</a:t>
          </a:r>
          <a:r>
            <a:rPr lang="ko-KR" altLang="en-US" sz="1100" baseline="0"/>
            <a:t>개가 그려진</a:t>
          </a:r>
          <a:r>
            <a:rPr lang="en-US" altLang="ko-KR" sz="1100" baseline="0"/>
            <a:t> </a:t>
          </a:r>
          <a:r>
            <a:rPr lang="ko-KR" altLang="en-US" sz="1100" baseline="0"/>
            <a:t>이미지를 제공한다</a:t>
          </a:r>
          <a:r>
            <a:rPr lang="en-US" altLang="ko-KR" sz="1100" baseline="0"/>
            <a:t>.</a:t>
          </a:r>
          <a:br>
            <a:rPr lang="en-US" altLang="ko-KR" sz="1100" baseline="0"/>
          </a:br>
          <a:r>
            <a:rPr lang="en-US" altLang="ko-KR" sz="1100" baseline="0"/>
            <a:t>    </a:t>
          </a:r>
          <a:r>
            <a:rPr lang="ko-KR" altLang="en-US" sz="1100" baseline="0"/>
            <a:t>사각형은 </a:t>
          </a:r>
          <a:r>
            <a:rPr lang="en-US" altLang="ko-KR" sz="1100" baseline="0"/>
            <a:t>1</a:t>
          </a:r>
          <a:r>
            <a:rPr lang="ko-KR" altLang="en-US" sz="1100" baseline="0"/>
            <a:t>들로 속이 꽉 채워진 사각형이며 여러 사각형이 겹쳐질 수 있다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    </a:t>
          </a:r>
          <a:r>
            <a:rPr lang="ko-KR" altLang="en-US" sz="1100" baseline="0"/>
            <a:t>겹치는 경우 </a:t>
          </a:r>
          <a:r>
            <a:rPr lang="en-US" altLang="ko-KR" sz="1100" baseline="0"/>
            <a:t>1</a:t>
          </a:r>
          <a:r>
            <a:rPr lang="ko-KR" altLang="en-US" sz="1100" baseline="0"/>
            <a:t>씩 더해진다</a:t>
          </a:r>
          <a:r>
            <a:rPr lang="en-US" altLang="ko-KR" sz="1100" baseline="0"/>
            <a:t>. </a:t>
          </a:r>
          <a:r>
            <a:rPr lang="ko-KR" altLang="en-US" sz="1100" baseline="0"/>
            <a:t>예를 들어 </a:t>
          </a:r>
          <a:r>
            <a:rPr lang="en-US" altLang="ko-KR" sz="1100" baseline="0"/>
            <a:t>3</a:t>
          </a:r>
          <a:r>
            <a:rPr lang="ko-KR" altLang="en-US" sz="1100" baseline="0"/>
            <a:t>인 경우 </a:t>
          </a:r>
          <a:r>
            <a:rPr lang="en-US" altLang="ko-KR" sz="1100" baseline="0"/>
            <a:t>3</a:t>
          </a:r>
          <a:r>
            <a:rPr lang="ko-KR" altLang="en-US" sz="1100" baseline="0"/>
            <a:t>개의 사각형이 겹친 것을 의미한다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* 50</a:t>
          </a:r>
          <a:r>
            <a:rPr lang="ko-KR" altLang="en-US" sz="1100" baseline="0"/>
            <a:t>개의 사각형 이미지정보가 주어질 때</a:t>
          </a:r>
          <a:r>
            <a:rPr lang="en-US" altLang="ko-KR" sz="1100" baseline="0"/>
            <a:t>, </a:t>
          </a:r>
          <a:r>
            <a:rPr lang="ko-KR" altLang="en-US" sz="1100" baseline="0"/>
            <a:t>정사각형의 개수를 구하여 반환해야 한다</a:t>
          </a:r>
          <a:r>
            <a:rPr lang="en-US" altLang="ko-KR" sz="1100" baseline="0"/>
            <a:t>.</a:t>
          </a:r>
        </a:p>
        <a:p>
          <a:endParaRPr lang="en-US" altLang="ko-KR" sz="1100" baseline="0"/>
        </a:p>
        <a:p>
          <a:r>
            <a:rPr lang="en-US" altLang="ko-KR" sz="1100" baseline="0"/>
            <a:t>[</a:t>
          </a:r>
          <a:r>
            <a:rPr lang="ko-KR" altLang="en-US" sz="1100" baseline="0"/>
            <a:t>문제 분석</a:t>
          </a:r>
          <a:r>
            <a:rPr lang="en-US" altLang="ko-KR" sz="1100" baseline="0"/>
            <a:t>]</a:t>
          </a: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왜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10000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개중에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8200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개만 맞아도 통과하는 것으로 하였을까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</a:t>
          </a: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이유는 판정 불가한 경우도 있기 때문이다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en-US" altLang="ko-K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해법 연구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[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눈내리는 겨울밤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의 정 반대이다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[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눈내리는 겨울밤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에서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lazy processing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을 위하여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S[sr][sc] = 1, S[sr][ec + 1] = -1..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을 수행하고 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마지막에 전체 테이블을 채웠다면 이 문제에서는 반대의 경우로 실행하고 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S[sr][sc] = 1, S[sr][ec + 1] = -1..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인지 확인하는 것으로 사각형인지 판단할 수 있다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b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그중 행과 열의 크기가 같은 경우라면 정사각형으로 판정할 수 있다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endParaRPr lang="ko-KR" altLang="en-US" sz="1100"/>
        </a:p>
      </xdr:txBody>
    </xdr:sp>
    <xdr:clientData/>
  </xdr:twoCellAnchor>
  <xdr:twoCellAnchor>
    <xdr:from>
      <xdr:col>6</xdr:col>
      <xdr:colOff>304254</xdr:colOff>
      <xdr:row>70</xdr:row>
      <xdr:rowOff>40536</xdr:rowOff>
    </xdr:from>
    <xdr:to>
      <xdr:col>11</xdr:col>
      <xdr:colOff>38894</xdr:colOff>
      <xdr:row>74</xdr:row>
      <xdr:rowOff>229485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6AAEEADF-333A-44A1-8CFF-172E79C0985E}"/>
            </a:ext>
          </a:extLst>
        </xdr:cNvPr>
        <xdr:cNvSpPr/>
      </xdr:nvSpPr>
      <xdr:spPr>
        <a:xfrm>
          <a:off x="2140674" y="16880736"/>
          <a:ext cx="1266260" cy="146910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68906</xdr:colOff>
      <xdr:row>70</xdr:row>
      <xdr:rowOff>31408</xdr:rowOff>
    </xdr:from>
    <xdr:to>
      <xdr:col>12</xdr:col>
      <xdr:colOff>315515</xdr:colOff>
      <xdr:row>76</xdr:row>
      <xdr:rowOff>226218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DB4D7E4B-F683-411F-AC7A-3A7B83B0F316}"/>
            </a:ext>
          </a:extLst>
        </xdr:cNvPr>
        <xdr:cNvSpPr/>
      </xdr:nvSpPr>
      <xdr:spPr>
        <a:xfrm>
          <a:off x="2499686" y="16871608"/>
          <a:ext cx="1496289" cy="2115050"/>
        </a:xfrm>
        <a:prstGeom prst="rect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9774</xdr:colOff>
      <xdr:row>71</xdr:row>
      <xdr:rowOff>25455</xdr:rowOff>
    </xdr:from>
    <xdr:to>
      <xdr:col>11</xdr:col>
      <xdr:colOff>309562</xdr:colOff>
      <xdr:row>75</xdr:row>
      <xdr:rowOff>250031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24C84781-7E71-4144-8D8F-18AC97A60BF8}"/>
            </a:ext>
          </a:extLst>
        </xdr:cNvPr>
        <xdr:cNvSpPr/>
      </xdr:nvSpPr>
      <xdr:spPr>
        <a:xfrm>
          <a:off x="2158614" y="17185695"/>
          <a:ext cx="1518988" cy="1504736"/>
        </a:xfrm>
        <a:prstGeom prst="rect">
          <a:avLst/>
        </a:prstGeom>
        <a:noFill/>
        <a:ln w="28575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48271</xdr:colOff>
      <xdr:row>73</xdr:row>
      <xdr:rowOff>58396</xdr:rowOff>
    </xdr:from>
    <xdr:to>
      <xdr:col>12</xdr:col>
      <xdr:colOff>11906</xdr:colOff>
      <xdr:row>76</xdr:row>
      <xdr:rowOff>181768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9B942FA8-2B8F-4AF3-9B80-5F4A710038A1}"/>
            </a:ext>
          </a:extLst>
        </xdr:cNvPr>
        <xdr:cNvSpPr/>
      </xdr:nvSpPr>
      <xdr:spPr>
        <a:xfrm>
          <a:off x="2197111" y="17858716"/>
          <a:ext cx="1495255" cy="1083492"/>
        </a:xfrm>
        <a:prstGeom prst="rect">
          <a:avLst/>
        </a:prstGeom>
        <a:noFill/>
        <a:ln w="28575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304254</xdr:colOff>
      <xdr:row>70</xdr:row>
      <xdr:rowOff>40536</xdr:rowOff>
    </xdr:from>
    <xdr:to>
      <xdr:col>28</xdr:col>
      <xdr:colOff>38894</xdr:colOff>
      <xdr:row>74</xdr:row>
      <xdr:rowOff>229485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22DA8658-2C88-46AF-8BC0-FEDC182969BA}"/>
            </a:ext>
          </a:extLst>
        </xdr:cNvPr>
        <xdr:cNvSpPr/>
      </xdr:nvSpPr>
      <xdr:spPr>
        <a:xfrm>
          <a:off x="7375614" y="16880736"/>
          <a:ext cx="1258640" cy="146910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26838</xdr:colOff>
      <xdr:row>70</xdr:row>
      <xdr:rowOff>36964</xdr:rowOff>
    </xdr:from>
    <xdr:to>
      <xdr:col>29</xdr:col>
      <xdr:colOff>291703</xdr:colOff>
      <xdr:row>77</xdr:row>
      <xdr:rowOff>5953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BAE70D78-2725-452C-B42F-CE70E31DC979}"/>
            </a:ext>
          </a:extLst>
        </xdr:cNvPr>
        <xdr:cNvSpPr/>
      </xdr:nvSpPr>
      <xdr:spPr>
        <a:xfrm>
          <a:off x="7402998" y="16877164"/>
          <a:ext cx="1788865" cy="2209269"/>
        </a:xfrm>
        <a:prstGeom prst="rect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28</xdr:col>
      <xdr:colOff>173231</xdr:colOff>
      <xdr:row>49</xdr:row>
      <xdr:rowOff>93542</xdr:rowOff>
    </xdr:from>
    <xdr:to>
      <xdr:col>38</xdr:col>
      <xdr:colOff>294594</xdr:colOff>
      <xdr:row>64</xdr:row>
      <xdr:rowOff>104665</xdr:rowOff>
    </xdr:to>
    <xdr:grpSp>
      <xdr:nvGrpSpPr>
        <xdr:cNvPr id="16" name="그룹 15">
          <a:extLst>
            <a:ext uri="{FF2B5EF4-FFF2-40B4-BE49-F238E27FC236}">
              <a16:creationId xmlns:a16="http://schemas.microsoft.com/office/drawing/2014/main" id="{1699E163-7B61-48E5-8FA9-87FA79965271}"/>
            </a:ext>
          </a:extLst>
        </xdr:cNvPr>
        <xdr:cNvGrpSpPr/>
      </xdr:nvGrpSpPr>
      <xdr:grpSpPr>
        <a:xfrm>
          <a:off x="12293385" y="11568173"/>
          <a:ext cx="4341483" cy="3679337"/>
          <a:chOff x="1517948" y="12559610"/>
          <a:chExt cx="3144205" cy="3920848"/>
        </a:xfrm>
      </xdr:grpSpPr>
      <xdr:sp macro="" textlink="">
        <xdr:nvSpPr>
          <xdr:cNvPr id="17" name="직사각형 16">
            <a:extLst>
              <a:ext uri="{FF2B5EF4-FFF2-40B4-BE49-F238E27FC236}">
                <a16:creationId xmlns:a16="http://schemas.microsoft.com/office/drawing/2014/main" id="{30267E45-9ECA-CEE0-DA97-A225083F0CB2}"/>
              </a:ext>
            </a:extLst>
          </xdr:cNvPr>
          <xdr:cNvSpPr/>
        </xdr:nvSpPr>
        <xdr:spPr>
          <a:xfrm>
            <a:off x="3092588" y="12559960"/>
            <a:ext cx="1569565" cy="2572981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" name="직사각형 17">
            <a:extLst>
              <a:ext uri="{FF2B5EF4-FFF2-40B4-BE49-F238E27FC236}">
                <a16:creationId xmlns:a16="http://schemas.microsoft.com/office/drawing/2014/main" id="{08A1C5BD-DB4C-15DE-FCAA-96BDA3303F2F}"/>
              </a:ext>
            </a:extLst>
          </xdr:cNvPr>
          <xdr:cNvSpPr/>
        </xdr:nvSpPr>
        <xdr:spPr>
          <a:xfrm>
            <a:off x="1517948" y="12559610"/>
            <a:ext cx="1554900" cy="3920848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22</xdr:col>
      <xdr:colOff>6143</xdr:colOff>
      <xdr:row>47</xdr:row>
      <xdr:rowOff>169609</xdr:rowOff>
    </xdr:from>
    <xdr:to>
      <xdr:col>32</xdr:col>
      <xdr:colOff>84125</xdr:colOff>
      <xdr:row>62</xdr:row>
      <xdr:rowOff>197956</xdr:rowOff>
    </xdr:to>
    <xdr:grpSp>
      <xdr:nvGrpSpPr>
        <xdr:cNvPr id="19" name="그룹 18">
          <a:extLst>
            <a:ext uri="{FF2B5EF4-FFF2-40B4-BE49-F238E27FC236}">
              <a16:creationId xmlns:a16="http://schemas.microsoft.com/office/drawing/2014/main" id="{4223A2EF-15DA-4780-9441-83E2B21EF3B0}"/>
            </a:ext>
          </a:extLst>
        </xdr:cNvPr>
        <xdr:cNvGrpSpPr/>
      </xdr:nvGrpSpPr>
      <xdr:grpSpPr>
        <a:xfrm>
          <a:off x="9601084" y="11154383"/>
          <a:ext cx="4296196" cy="3700371"/>
          <a:chOff x="10196189" y="12485416"/>
          <a:chExt cx="3144205" cy="3917323"/>
        </a:xfrm>
      </xdr:grpSpPr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873C550C-6EE3-4F52-E650-DB08B170D1F4}"/>
              </a:ext>
            </a:extLst>
          </xdr:cNvPr>
          <xdr:cNvSpPr/>
        </xdr:nvSpPr>
        <xdr:spPr>
          <a:xfrm>
            <a:off x="10198121" y="12485416"/>
            <a:ext cx="3142273" cy="2566631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0FA493CE-AA00-F2B3-21FB-392053762E5F}"/>
              </a:ext>
            </a:extLst>
          </xdr:cNvPr>
          <xdr:cNvSpPr/>
        </xdr:nvSpPr>
        <xdr:spPr>
          <a:xfrm>
            <a:off x="10196189" y="15064483"/>
            <a:ext cx="1551725" cy="1338256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173690</xdr:colOff>
      <xdr:row>1</xdr:row>
      <xdr:rowOff>106847</xdr:rowOff>
    </xdr:from>
    <xdr:to>
      <xdr:col>5</xdr:col>
      <xdr:colOff>370682</xdr:colOff>
      <xdr:row>31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9E0A525-F2E3-42AD-85C6-06F33CCE2B75}"/>
            </a:ext>
          </a:extLst>
        </xdr:cNvPr>
        <xdr:cNvSpPr txBox="1"/>
      </xdr:nvSpPr>
      <xdr:spPr>
        <a:xfrm>
          <a:off x="840440" y="325922"/>
          <a:ext cx="5454792" cy="66368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문제 요약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]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(1) 16bit(0~65535)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2048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개의 수를 랜덤 추출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일부 같은수 포함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)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(2) 2048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개의 수를 이용하여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32bit(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상위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16bit,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하위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16bit)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정수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1048576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개를 생성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(3)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사용자는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1M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한도의 지역메모리를 이용하여 정렬해야 함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사용자는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main.cpp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hw_sort(short data[1024])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함수를 사용할 수 있음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</a:p>
        <a:p>
          <a:endParaRPr lang="en-US" altLang="ko-K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문제 분석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]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(1)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데이터 생성은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2048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16bit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정수를 이용하여 만들어진다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따라서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16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비트 단위로 보면 많아야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2048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개의 서로다른 정수가 있다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(2) test()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함수로 주어지는 데이터는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unsigned int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타입이지만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   hw_sort()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로 정렬할 수 있는 정수는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short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타입이다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(3) 1M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범위의 지역메모리만을 허용하므로 메모리 공간 사용을 최적화할 필요가 있다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(4)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점수는 정렬 시간을 통하여 체크되므로 가능한 빠른속도로 정렬해야 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(5)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어떤 정렬을 사용할수 있을까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?</a:t>
          </a:r>
        </a:p>
        <a:p>
          <a:endParaRPr lang="en-US" altLang="ko-K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해법 연구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]</a:t>
          </a: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다양한 해법이 있겠지만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hw_sort()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를 사용하지 않는 방법을 생각해본다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(1)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약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2048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개의 정수를 골라 이를 이용하여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32bit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정수를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22bit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정수로 바꿀수 있다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   advanced_hash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로 볼수 있다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(2) 22bit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정수에서 상위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11bit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counting sort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(3)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상위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11bit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구간별 하위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11bit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counting sort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(4) 11bit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정수를 원래의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32bit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정수로 바꾼다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(5)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공간복잡도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: 65536 * 2 + 2048 * 4 + 2048 * 4 = 131072 + 16384 = 147456</a:t>
          </a: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시간복잡도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두번의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counting sort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를 진행하므로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O(1048576)</a:t>
          </a:r>
          <a:endParaRPr lang="ko-KR" altLang="en-US" sz="1100"/>
        </a:p>
      </xdr:txBody>
    </xdr:sp>
    <xdr:clientData/>
  </xdr:twoCellAnchor>
  <xdr:twoCellAnchor>
    <xdr:from>
      <xdr:col>6</xdr:col>
      <xdr:colOff>263769</xdr:colOff>
      <xdr:row>30</xdr:row>
      <xdr:rowOff>87923</xdr:rowOff>
    </xdr:from>
    <xdr:to>
      <xdr:col>23</xdr:col>
      <xdr:colOff>534866</xdr:colOff>
      <xdr:row>37</xdr:row>
      <xdr:rowOff>80596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967F5B0-1311-4961-B214-F93FCC5D03CF}"/>
            </a:ext>
          </a:extLst>
        </xdr:cNvPr>
        <xdr:cNvSpPr txBox="1"/>
      </xdr:nvSpPr>
      <xdr:spPr>
        <a:xfrm>
          <a:off x="6870309" y="6717323"/>
          <a:ext cx="6443297" cy="15395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int read(unsigned char*tg, int i) {     // LM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 중에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i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번 비트가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인지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인지 읽어오기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     return (tg[i / 8] &gt;&gt; (i % 8 )) &amp; 1;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}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tg[67 / 8]</a:t>
          </a:r>
          <a:r>
            <a:rPr lang="en-US" altLang="ko-K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&gt;&gt; (67 % 8) =</a:t>
          </a:r>
        </a:p>
        <a:p>
          <a:r>
            <a:rPr lang="en-US" altLang="ko-K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tg[8] &gt;&gt; 3</a:t>
          </a:r>
          <a:endParaRPr lang="ko-KR" altLang="en-US" sz="1100"/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87630</xdr:colOff>
      <xdr:row>1</xdr:row>
      <xdr:rowOff>64766</xdr:rowOff>
    </xdr:from>
    <xdr:to>
      <xdr:col>13</xdr:col>
      <xdr:colOff>74295</xdr:colOff>
      <xdr:row>72</xdr:row>
      <xdr:rowOff>170735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7F8A4E5-EFFC-4901-A695-30D7FCE74DAD}"/>
            </a:ext>
          </a:extLst>
        </xdr:cNvPr>
        <xdr:cNvSpPr txBox="1"/>
      </xdr:nvSpPr>
      <xdr:spPr>
        <a:xfrm>
          <a:off x="754380" y="283841"/>
          <a:ext cx="7987665" cy="156602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[</a:t>
          </a:r>
          <a:r>
            <a:rPr lang="ko-KR" altLang="en-US" sz="1100"/>
            <a:t>문제 개요</a:t>
          </a:r>
          <a:r>
            <a:rPr lang="en-US" altLang="ko-KR" sz="1100"/>
            <a:t>]</a:t>
          </a:r>
        </a:p>
        <a:p>
          <a:r>
            <a:rPr lang="ko-KR" altLang="en-US" sz="1100"/>
            <a:t>테스트 케이스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MAX_TC = </a:t>
          </a:r>
          <a:r>
            <a:rPr lang="en-US" altLang="ko-KR" sz="1100"/>
            <a:t>5</a:t>
          </a:r>
          <a:r>
            <a:rPr lang="en-US" altLang="ko-KR" sz="1100" baseline="0"/>
            <a:t> </a:t>
          </a:r>
          <a:r>
            <a:rPr lang="ko-KR" altLang="en-US" sz="1100" baseline="0"/>
            <a:t>이다</a:t>
          </a:r>
          <a:r>
            <a:rPr lang="en-US" altLang="ko-KR" sz="1100" baseline="0"/>
            <a:t>.</a:t>
          </a:r>
        </a:p>
        <a:p>
          <a:endParaRPr lang="en-US" altLang="ko-KR" sz="1100"/>
        </a:p>
        <a:p>
          <a:r>
            <a:rPr lang="ko-KR" altLang="en-US" sz="1100"/>
            <a:t>택시 기사 </a:t>
          </a:r>
          <a:r>
            <a:rPr lang="en-US" altLang="ko-KR" sz="1100"/>
            <a:t>(51 ~100)</a:t>
          </a:r>
          <a:r>
            <a:rPr lang="ko-KR" altLang="en-US" sz="1100"/>
            <a:t>명</a:t>
          </a:r>
          <a:r>
            <a:rPr lang="en-US" altLang="ko-KR" sz="1100"/>
            <a:t>, </a:t>
          </a:r>
          <a:r>
            <a:rPr lang="ko-KR" altLang="en-US" sz="1100"/>
            <a:t>승객 </a:t>
          </a:r>
          <a:r>
            <a:rPr lang="en-US" altLang="ko-KR" sz="1100"/>
            <a:t>(5,001 ~ 10,000)</a:t>
          </a:r>
          <a:r>
            <a:rPr lang="ko-KR" altLang="en-US" sz="1100"/>
            <a:t>명이</a:t>
          </a:r>
          <a:endParaRPr lang="en-US" altLang="ko-KR" sz="1100"/>
        </a:p>
        <a:p>
          <a:r>
            <a:rPr lang="en-US" altLang="ko-KR" sz="1100"/>
            <a:t>1,000,000 * 1,000,000 </a:t>
          </a:r>
          <a:r>
            <a:rPr lang="ko-KR" altLang="en-US" sz="1100"/>
            <a:t>크기 </a:t>
          </a:r>
          <a:r>
            <a:rPr lang="en-US" altLang="ko-KR" sz="1100"/>
            <a:t>2</a:t>
          </a:r>
          <a:r>
            <a:rPr lang="ko-KR" altLang="en-US" sz="1100"/>
            <a:t>차원 평면에 랜덤하게 위치한다</a:t>
          </a:r>
          <a:r>
            <a:rPr lang="en-US" altLang="ko-KR" sz="1100"/>
            <a:t>.</a:t>
          </a:r>
        </a:p>
        <a:p>
          <a:endParaRPr lang="en-US" altLang="ko-KR" sz="1100"/>
        </a:p>
        <a:p>
          <a:r>
            <a:rPr lang="ko-KR" altLang="en-US" sz="1100"/>
            <a:t>택시기사는 승객을 운송하는데 맨해튼 경로를 이용한다</a:t>
          </a:r>
          <a:r>
            <a:rPr lang="en-US" altLang="ko-KR" sz="1100"/>
            <a:t>.</a:t>
          </a:r>
        </a:p>
        <a:p>
          <a:r>
            <a:rPr lang="en-US" altLang="ko-KR" sz="1100"/>
            <a:t>100</a:t>
          </a:r>
          <a:r>
            <a:rPr lang="ko-KR" altLang="en-US" sz="1100"/>
            <a:t>명의 기사가 </a:t>
          </a:r>
          <a:r>
            <a:rPr lang="en-US" altLang="ko-KR" sz="1100"/>
            <a:t>10000</a:t>
          </a:r>
          <a:r>
            <a:rPr lang="ko-KR" altLang="en-US" sz="1100"/>
            <a:t>명의 승객을 적절히 나누어 운송할 때</a:t>
          </a:r>
          <a:r>
            <a:rPr lang="en-US" altLang="ko-KR" sz="1100"/>
            <a:t>,</a:t>
          </a:r>
        </a:p>
        <a:p>
          <a:r>
            <a:rPr lang="ko-KR" altLang="en-US" sz="1100"/>
            <a:t>최대 이동거리 기사의 이동거리를 최소화 하는 문제이다</a:t>
          </a:r>
          <a:r>
            <a:rPr lang="en-US" altLang="ko-KR" sz="1100"/>
            <a:t>.</a:t>
          </a:r>
        </a:p>
        <a:p>
          <a:endParaRPr lang="en-US" altLang="ko-KR" sz="1100"/>
        </a:p>
        <a:p>
          <a:r>
            <a:rPr lang="en-US" altLang="ko-KR" sz="1100"/>
            <a:t>[</a:t>
          </a:r>
          <a:r>
            <a:rPr lang="ko-KR" altLang="en-US" sz="1100"/>
            <a:t>문제 분석</a:t>
          </a:r>
          <a:r>
            <a:rPr lang="en-US" altLang="ko-KR" sz="1100"/>
            <a:t>]</a:t>
          </a:r>
        </a:p>
        <a:p>
          <a:r>
            <a:rPr lang="ko-KR" altLang="en-US" sz="1100"/>
            <a:t>택시기사의 좌표가 비교적 고르게 분포한다</a:t>
          </a:r>
          <a:r>
            <a:rPr lang="en-US" altLang="ko-KR" sz="1100"/>
            <a:t>.</a:t>
          </a:r>
        </a:p>
        <a:p>
          <a:r>
            <a:rPr lang="ko-KR" altLang="en-US" sz="1100"/>
            <a:t>승객의 좌표가 고르게 분포한다</a:t>
          </a:r>
          <a:r>
            <a:rPr lang="en-US" altLang="ko-KR" sz="1100"/>
            <a:t>.</a:t>
          </a:r>
        </a:p>
        <a:p>
          <a:r>
            <a:rPr lang="ko-KR" altLang="en-US" sz="1100"/>
            <a:t>전체 점수는 </a:t>
          </a:r>
          <a:r>
            <a:rPr lang="en-US" altLang="ko-KR" sz="1100"/>
            <a:t>5</a:t>
          </a:r>
          <a:r>
            <a:rPr lang="ko-KR" altLang="en-US" sz="1100"/>
            <a:t>개 </a:t>
          </a:r>
          <a:r>
            <a:rPr lang="en-US" altLang="ko-KR" sz="1100"/>
            <a:t>TC</a:t>
          </a:r>
          <a:r>
            <a:rPr lang="en-US" altLang="ko-KR" sz="1100" baseline="0"/>
            <a:t> </a:t>
          </a:r>
          <a:r>
            <a:rPr lang="ko-KR" altLang="en-US" sz="1100" baseline="0"/>
            <a:t>전체의 합이며</a:t>
          </a:r>
          <a:endParaRPr lang="en-US" altLang="ko-KR" sz="1100" baseline="0"/>
        </a:p>
        <a:p>
          <a:r>
            <a:rPr lang="ko-KR" altLang="en-US" sz="1100" baseline="0"/>
            <a:t>각 </a:t>
          </a:r>
          <a:r>
            <a:rPr lang="en-US" altLang="ko-KR" sz="1100" baseline="0"/>
            <a:t>TC</a:t>
          </a:r>
          <a:r>
            <a:rPr lang="ko-KR" altLang="en-US" sz="1100" baseline="0"/>
            <a:t>의 점수는 </a:t>
          </a:r>
          <a:r>
            <a:rPr lang="en-US" altLang="ko-KR" sz="1100" baseline="0"/>
            <a:t>M(51~100)</a:t>
          </a:r>
          <a:r>
            <a:rPr lang="ko-KR" altLang="en-US" sz="1100" baseline="0"/>
            <a:t>명의 기사들이 이동한 거리중에 최대값이다</a:t>
          </a:r>
          <a:r>
            <a:rPr lang="en-US" altLang="ko-KR" sz="1100" baseline="0"/>
            <a:t>.</a:t>
          </a:r>
        </a:p>
        <a:p>
          <a:r>
            <a:rPr lang="ko-KR" altLang="en-US" sz="1100" baseline="0"/>
            <a:t>가능한 전체 점수를 작게 만들어야 한다</a:t>
          </a:r>
          <a:r>
            <a:rPr lang="en-US" altLang="ko-KR" sz="1100" baseline="0"/>
            <a:t>.</a:t>
          </a:r>
        </a:p>
        <a:p>
          <a:endParaRPr lang="en-US" altLang="ko-KR" sz="1100" baseline="0"/>
        </a:p>
        <a:p>
          <a:r>
            <a:rPr lang="ko-KR" altLang="en-US" sz="1100" baseline="0"/>
            <a:t>승객이 출발지로부터 도착지까지 이동한 거리의 합을 </a:t>
          </a:r>
          <a:r>
            <a:rPr lang="en-US" altLang="ko-KR" sz="1100" baseline="0"/>
            <a:t>M</a:t>
          </a:r>
          <a:r>
            <a:rPr lang="ko-KR" altLang="en-US" sz="1100" baseline="0"/>
            <a:t>명의 기사로 나눈 평균을</a:t>
          </a:r>
          <a:endParaRPr lang="en-US" altLang="ko-KR" sz="1100" baseline="0"/>
        </a:p>
        <a:p>
          <a:r>
            <a:rPr lang="ko-KR" altLang="en-US" sz="1100" baseline="0"/>
            <a:t>각 </a:t>
          </a:r>
          <a:r>
            <a:rPr lang="en-US" altLang="ko-KR" sz="1100" baseline="0"/>
            <a:t>TC</a:t>
          </a:r>
          <a:r>
            <a:rPr lang="ko-KR" altLang="en-US" sz="1100" baseline="0"/>
            <a:t>의 점수라고 할 때</a:t>
          </a:r>
          <a:r>
            <a:rPr lang="en-US" altLang="ko-KR" sz="1100" baseline="0"/>
            <a:t>, </a:t>
          </a:r>
          <a:r>
            <a:rPr lang="ko-KR" altLang="en-US" sz="1100" baseline="0"/>
            <a:t>전체 점수는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412,143,544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이므로</a:t>
          </a:r>
          <a:endParaRPr lang="en-US" altLang="ko-K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결과값은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412,143,544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이하가 될 수 없고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412,143,544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초과 한다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해결 전략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0]</a:t>
          </a:r>
        </a:p>
        <a:p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위 문제 분석에 따라 우리는 다음과 같은 전략을 생각할 수 있다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가장 이동거리가 작은 기사를 우선하여 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 기사로부터 출발지가 가장 가까운 승객을 선택하는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Greedy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전략을 생각할 수 있다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문제 해결 프로세스는 다음과 같다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1. M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명의 기사를 이동거리 최소힙에 담는다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2.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가장 이동거리가 최소인 기사를 선택하여 남아있는 승객중에</a:t>
          </a:r>
          <a:b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기사의 위치로부터 승객의 출발지까지 거리가 최소인 승객을 배정하도록 한다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승객의 도착지로 기사를 이동시키고 기사의 이동거리 합도 업데이트 한 후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기사를 최소힙에 담는다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3.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모든 승객이 도착지에 도달할때까지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번을 반복한다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4.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 경우 약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436,***,***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점을 얻을 수 있다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en-US" altLang="ko-K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해결 전략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승객수를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K,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택시수를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이라고 할 때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해결 전략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의 방법은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 - M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명에 대하여 적용하고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나머지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명의 승객은 승객이 선택하는 전략을 추가할 수 있다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마지막 승객의 경우 이동거리가 작은 택시가 승객을 선택하는 것보다 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승객이 가까운 택시를 선택하는 것이 더 좋을 수 있기 때문이다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물론 항상 그러한 것은 아닐 수 있다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이러한 시도는 해 본 후 더 좋은 점수를 얻을 수 있다면 선택하는 것이고 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그렇지 않은경우 다른 방법을 시도해 본다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 경우 약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433,***,***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점을 얻을 수 있다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이후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다음 작업을 통해 점수 더 개선할 수 있다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택시정보를 이동거리의 오름차순으로 정렬한 후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</a:t>
          </a: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M-1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번째 택시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이동거리합이 가장 긴 택시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부터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번 각 택시의 이동거리를 낮출수 있도록 다음 방법을 사용해 본다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선택된 택시와 나머지 모든 택시의 마지막 승객에 대하여 서로 바꿨을 때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</a:p>
        <a:p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현재 최대값을 감소시킬 수 있다면 승객을 바꾸는 것이다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이렇게 하면 다음 점수를 얻을 수 있다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// TH = 20, MAX_TC = 10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일때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SCORE: 755'888'229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// TH = 20, MAX_TC =  5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일때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SCORE: 430'745'350</a:t>
          </a:r>
        </a:p>
        <a:p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후기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solving talk을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볼 때 TC=5에서 4.31억이 컷으로 보임.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DS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에서는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분 합격하심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점수는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756'***'***.0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점</a:t>
          </a:r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소수점</a:t>
          </a:r>
          <a:r>
            <a:rPr lang="ko-KR" alt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이하로 볼 때</a:t>
          </a:r>
          <a:r>
            <a:rPr lang="en-US" altLang="ko-K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여러 시드</a:t>
          </a:r>
          <a:r>
            <a:rPr lang="en-US" altLang="ko-K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약 </a:t>
          </a:r>
          <a:r>
            <a:rPr lang="en-US" altLang="ko-K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</a:t>
          </a:r>
          <a:r>
            <a:rPr lang="en-US" altLang="ko-K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에 대하여 각 시드당 </a:t>
          </a:r>
          <a:r>
            <a:rPr lang="en-US" altLang="ko-K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번의 </a:t>
          </a:r>
          <a:r>
            <a:rPr lang="en-US" altLang="ko-K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TC </a:t>
          </a:r>
          <a:r>
            <a:rPr lang="ko-KR" alt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점수에 대한 평균으로 보임</a:t>
          </a:r>
          <a:r>
            <a:rPr lang="en-US" altLang="ko-K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.(</a:t>
          </a:r>
          <a:r>
            <a:rPr lang="ko-KR" alt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강사 생각</a:t>
          </a:r>
          <a:r>
            <a:rPr lang="en-US" altLang="ko-K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^^)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66260</xdr:colOff>
      <xdr:row>26</xdr:row>
      <xdr:rowOff>74544</xdr:rowOff>
    </xdr:from>
    <xdr:to>
      <xdr:col>12</xdr:col>
      <xdr:colOff>91108</xdr:colOff>
      <xdr:row>28</xdr:row>
      <xdr:rowOff>132521</xdr:rowOff>
    </xdr:to>
    <xdr:sp macro="" textlink="">
      <xdr:nvSpPr>
        <xdr:cNvPr id="2" name="자유형 4">
          <a:extLst>
            <a:ext uri="{FF2B5EF4-FFF2-40B4-BE49-F238E27FC236}">
              <a16:creationId xmlns:a16="http://schemas.microsoft.com/office/drawing/2014/main" id="{0CD0241A-BFC4-4B52-A308-05D8554C80AA}"/>
            </a:ext>
          </a:extLst>
        </xdr:cNvPr>
        <xdr:cNvSpPr/>
      </xdr:nvSpPr>
      <xdr:spPr>
        <a:xfrm>
          <a:off x="2093180" y="5820024"/>
          <a:ext cx="1167848" cy="499937"/>
        </a:xfrm>
        <a:custGeom>
          <a:avLst/>
          <a:gdLst>
            <a:gd name="connsiteX0" fmla="*/ 472109 w 1184413"/>
            <a:gd name="connsiteY0" fmla="*/ 240195 h 472108"/>
            <a:gd name="connsiteX1" fmla="*/ 0 w 1184413"/>
            <a:gd name="connsiteY1" fmla="*/ 240195 h 472108"/>
            <a:gd name="connsiteX2" fmla="*/ 8283 w 1184413"/>
            <a:gd name="connsiteY2" fmla="*/ 0 h 472108"/>
            <a:gd name="connsiteX3" fmla="*/ 1176131 w 1184413"/>
            <a:gd name="connsiteY3" fmla="*/ 16565 h 472108"/>
            <a:gd name="connsiteX4" fmla="*/ 1184413 w 1184413"/>
            <a:gd name="connsiteY4" fmla="*/ 231913 h 472108"/>
            <a:gd name="connsiteX5" fmla="*/ 737153 w 1184413"/>
            <a:gd name="connsiteY5" fmla="*/ 223630 h 472108"/>
            <a:gd name="connsiteX6" fmla="*/ 720587 w 1184413"/>
            <a:gd name="connsiteY6" fmla="*/ 472108 h 47210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84413" h="472108">
              <a:moveTo>
                <a:pt x="472109" y="240195"/>
              </a:moveTo>
              <a:lnTo>
                <a:pt x="0" y="240195"/>
              </a:lnTo>
              <a:lnTo>
                <a:pt x="8283" y="0"/>
              </a:lnTo>
              <a:lnTo>
                <a:pt x="1176131" y="16565"/>
              </a:lnTo>
              <a:lnTo>
                <a:pt x="1184413" y="231913"/>
              </a:lnTo>
              <a:lnTo>
                <a:pt x="737153" y="223630"/>
              </a:lnTo>
              <a:lnTo>
                <a:pt x="720587" y="472108"/>
              </a:lnTo>
            </a:path>
          </a:pathLst>
        </a:custGeom>
        <a:noFill/>
        <a:ln w="12700">
          <a:solidFill>
            <a:srgbClr val="FF3300"/>
          </a:solidFill>
          <a:prstDash val="sysDot"/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140805</xdr:colOff>
      <xdr:row>31</xdr:row>
      <xdr:rowOff>91109</xdr:rowOff>
    </xdr:from>
    <xdr:to>
      <xdr:col>13</xdr:col>
      <xdr:colOff>140804</xdr:colOff>
      <xdr:row>33</xdr:row>
      <xdr:rowOff>149087</xdr:rowOff>
    </xdr:to>
    <xdr:sp macro="" textlink="">
      <xdr:nvSpPr>
        <xdr:cNvPr id="3" name="자유형 5">
          <a:extLst>
            <a:ext uri="{FF2B5EF4-FFF2-40B4-BE49-F238E27FC236}">
              <a16:creationId xmlns:a16="http://schemas.microsoft.com/office/drawing/2014/main" id="{3D22355B-E354-4341-8984-59912B1AE902}"/>
            </a:ext>
          </a:extLst>
        </xdr:cNvPr>
        <xdr:cNvSpPr/>
      </xdr:nvSpPr>
      <xdr:spPr>
        <a:xfrm>
          <a:off x="1481925" y="6941489"/>
          <a:ext cx="2057399" cy="499938"/>
        </a:xfrm>
        <a:custGeom>
          <a:avLst/>
          <a:gdLst>
            <a:gd name="connsiteX0" fmla="*/ 654326 w 2087217"/>
            <a:gd name="connsiteY0" fmla="*/ 430696 h 472109"/>
            <a:gd name="connsiteX1" fmla="*/ 1615108 w 2087217"/>
            <a:gd name="connsiteY1" fmla="*/ 422413 h 472109"/>
            <a:gd name="connsiteX2" fmla="*/ 1615108 w 2087217"/>
            <a:gd name="connsiteY2" fmla="*/ 198782 h 472109"/>
            <a:gd name="connsiteX3" fmla="*/ 8282 w 2087217"/>
            <a:gd name="connsiteY3" fmla="*/ 215348 h 472109"/>
            <a:gd name="connsiteX4" fmla="*/ 0 w 2087217"/>
            <a:gd name="connsiteY4" fmla="*/ 0 h 472109"/>
            <a:gd name="connsiteX5" fmla="*/ 2087217 w 2087217"/>
            <a:gd name="connsiteY5" fmla="*/ 0 h 472109"/>
            <a:gd name="connsiteX6" fmla="*/ 2078935 w 2087217"/>
            <a:gd name="connsiteY6" fmla="*/ 248478 h 472109"/>
            <a:gd name="connsiteX7" fmla="*/ 1830456 w 2087217"/>
            <a:gd name="connsiteY7" fmla="*/ 223630 h 472109"/>
            <a:gd name="connsiteX8" fmla="*/ 1830456 w 2087217"/>
            <a:gd name="connsiteY8" fmla="*/ 472109 h 4721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2087217" h="472109">
              <a:moveTo>
                <a:pt x="654326" y="430696"/>
              </a:moveTo>
              <a:lnTo>
                <a:pt x="1615108" y="422413"/>
              </a:lnTo>
              <a:lnTo>
                <a:pt x="1615108" y="198782"/>
              </a:lnTo>
              <a:lnTo>
                <a:pt x="8282" y="215348"/>
              </a:lnTo>
              <a:lnTo>
                <a:pt x="0" y="0"/>
              </a:lnTo>
              <a:lnTo>
                <a:pt x="2087217" y="0"/>
              </a:lnTo>
              <a:lnTo>
                <a:pt x="2078935" y="248478"/>
              </a:lnTo>
              <a:lnTo>
                <a:pt x="1830456" y="223630"/>
              </a:lnTo>
              <a:lnTo>
                <a:pt x="1830456" y="472109"/>
              </a:lnTo>
            </a:path>
          </a:pathLst>
        </a:custGeom>
        <a:noFill/>
        <a:ln>
          <a:solidFill>
            <a:srgbClr val="FF3300"/>
          </a:solidFill>
          <a:prstDash val="sysDot"/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53578</xdr:colOff>
      <xdr:row>36</xdr:row>
      <xdr:rowOff>47625</xdr:rowOff>
    </xdr:from>
    <xdr:to>
      <xdr:col>12</xdr:col>
      <xdr:colOff>208359</xdr:colOff>
      <xdr:row>38</xdr:row>
      <xdr:rowOff>166688</xdr:rowOff>
    </xdr:to>
    <xdr:sp macro="" textlink="">
      <xdr:nvSpPr>
        <xdr:cNvPr id="4" name="자유형 6">
          <a:extLst>
            <a:ext uri="{FF2B5EF4-FFF2-40B4-BE49-F238E27FC236}">
              <a16:creationId xmlns:a16="http://schemas.microsoft.com/office/drawing/2014/main" id="{DF7BBFD8-ADA8-473D-AF56-7C3E73C77396}"/>
            </a:ext>
          </a:extLst>
        </xdr:cNvPr>
        <xdr:cNvSpPr/>
      </xdr:nvSpPr>
      <xdr:spPr>
        <a:xfrm>
          <a:off x="2080498" y="8002905"/>
          <a:ext cx="1297781" cy="561023"/>
        </a:xfrm>
        <a:custGeom>
          <a:avLst/>
          <a:gdLst>
            <a:gd name="connsiteX0" fmla="*/ 1220391 w 1285875"/>
            <a:gd name="connsiteY0" fmla="*/ 523875 h 535781"/>
            <a:gd name="connsiteX1" fmla="*/ 244078 w 1285875"/>
            <a:gd name="connsiteY1" fmla="*/ 535781 h 535781"/>
            <a:gd name="connsiteX2" fmla="*/ 244078 w 1285875"/>
            <a:gd name="connsiteY2" fmla="*/ 345281 h 535781"/>
            <a:gd name="connsiteX3" fmla="*/ 0 w 1285875"/>
            <a:gd name="connsiteY3" fmla="*/ 345281 h 535781"/>
            <a:gd name="connsiteX4" fmla="*/ 0 w 1285875"/>
            <a:gd name="connsiteY4" fmla="*/ 17859 h 535781"/>
            <a:gd name="connsiteX5" fmla="*/ 1285875 w 1285875"/>
            <a:gd name="connsiteY5" fmla="*/ 0 h 535781"/>
            <a:gd name="connsiteX6" fmla="*/ 1273969 w 1285875"/>
            <a:gd name="connsiteY6" fmla="*/ 351234 h 535781"/>
            <a:gd name="connsiteX7" fmla="*/ 488157 w 1285875"/>
            <a:gd name="connsiteY7" fmla="*/ 351234 h 53578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285875" h="535781">
              <a:moveTo>
                <a:pt x="1220391" y="523875"/>
              </a:moveTo>
              <a:lnTo>
                <a:pt x="244078" y="535781"/>
              </a:lnTo>
              <a:lnTo>
                <a:pt x="244078" y="345281"/>
              </a:lnTo>
              <a:lnTo>
                <a:pt x="0" y="345281"/>
              </a:lnTo>
              <a:lnTo>
                <a:pt x="0" y="17859"/>
              </a:lnTo>
              <a:lnTo>
                <a:pt x="1285875" y="0"/>
              </a:lnTo>
              <a:lnTo>
                <a:pt x="1273969" y="351234"/>
              </a:lnTo>
              <a:lnTo>
                <a:pt x="488157" y="351234"/>
              </a:lnTo>
            </a:path>
          </a:pathLst>
        </a:custGeom>
        <a:noFill/>
        <a:ln>
          <a:solidFill>
            <a:srgbClr val="FF3300"/>
          </a:solidFill>
          <a:prstDash val="sysDot"/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53578</xdr:colOff>
      <xdr:row>41</xdr:row>
      <xdr:rowOff>35719</xdr:rowOff>
    </xdr:from>
    <xdr:to>
      <xdr:col>12</xdr:col>
      <xdr:colOff>178594</xdr:colOff>
      <xdr:row>43</xdr:row>
      <xdr:rowOff>178593</xdr:rowOff>
    </xdr:to>
    <xdr:sp macro="" textlink="">
      <xdr:nvSpPr>
        <xdr:cNvPr id="5" name="자유형 7">
          <a:extLst>
            <a:ext uri="{FF2B5EF4-FFF2-40B4-BE49-F238E27FC236}">
              <a16:creationId xmlns:a16="http://schemas.microsoft.com/office/drawing/2014/main" id="{21ED0EB7-72BF-4F70-BEC7-85BE784C3D04}"/>
            </a:ext>
          </a:extLst>
        </xdr:cNvPr>
        <xdr:cNvSpPr/>
      </xdr:nvSpPr>
      <xdr:spPr>
        <a:xfrm>
          <a:off x="2080498" y="9095899"/>
          <a:ext cx="1268016" cy="584834"/>
        </a:xfrm>
        <a:custGeom>
          <a:avLst/>
          <a:gdLst>
            <a:gd name="connsiteX0" fmla="*/ 1023938 w 1256110"/>
            <a:gd name="connsiteY0" fmla="*/ 559593 h 559593"/>
            <a:gd name="connsiteX1" fmla="*/ 238125 w 1256110"/>
            <a:gd name="connsiteY1" fmla="*/ 559593 h 559593"/>
            <a:gd name="connsiteX2" fmla="*/ 244078 w 1256110"/>
            <a:gd name="connsiteY2" fmla="*/ 321468 h 559593"/>
            <a:gd name="connsiteX3" fmla="*/ 5953 w 1256110"/>
            <a:gd name="connsiteY3" fmla="*/ 315515 h 559593"/>
            <a:gd name="connsiteX4" fmla="*/ 0 w 1256110"/>
            <a:gd name="connsiteY4" fmla="*/ 11906 h 559593"/>
            <a:gd name="connsiteX5" fmla="*/ 1256110 w 1256110"/>
            <a:gd name="connsiteY5" fmla="*/ 0 h 559593"/>
            <a:gd name="connsiteX6" fmla="*/ 1244203 w 1256110"/>
            <a:gd name="connsiteY6" fmla="*/ 363140 h 559593"/>
            <a:gd name="connsiteX7" fmla="*/ 482203 w 1256110"/>
            <a:gd name="connsiteY7" fmla="*/ 357187 h 55959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256110" h="559593">
              <a:moveTo>
                <a:pt x="1023938" y="559593"/>
              </a:moveTo>
              <a:lnTo>
                <a:pt x="238125" y="559593"/>
              </a:lnTo>
              <a:lnTo>
                <a:pt x="244078" y="321468"/>
              </a:lnTo>
              <a:lnTo>
                <a:pt x="5953" y="315515"/>
              </a:lnTo>
              <a:lnTo>
                <a:pt x="0" y="11906"/>
              </a:lnTo>
              <a:lnTo>
                <a:pt x="1256110" y="0"/>
              </a:lnTo>
              <a:lnTo>
                <a:pt x="1244203" y="363140"/>
              </a:lnTo>
              <a:lnTo>
                <a:pt x="482203" y="357187"/>
              </a:lnTo>
            </a:path>
          </a:pathLst>
        </a:custGeom>
        <a:noFill/>
        <a:ln>
          <a:solidFill>
            <a:srgbClr val="FF3300"/>
          </a:solidFill>
          <a:prstDash val="sysDot"/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41672</xdr:colOff>
      <xdr:row>46</xdr:row>
      <xdr:rowOff>29765</xdr:rowOff>
    </xdr:from>
    <xdr:to>
      <xdr:col>11</xdr:col>
      <xdr:colOff>196453</xdr:colOff>
      <xdr:row>48</xdr:row>
      <xdr:rowOff>184547</xdr:rowOff>
    </xdr:to>
    <xdr:sp macro="" textlink="">
      <xdr:nvSpPr>
        <xdr:cNvPr id="6" name="자유형 9">
          <a:extLst>
            <a:ext uri="{FF2B5EF4-FFF2-40B4-BE49-F238E27FC236}">
              <a16:creationId xmlns:a16="http://schemas.microsoft.com/office/drawing/2014/main" id="{92CFBD66-9717-4A07-874E-332736785BBD}"/>
            </a:ext>
          </a:extLst>
        </xdr:cNvPr>
        <xdr:cNvSpPr/>
      </xdr:nvSpPr>
      <xdr:spPr>
        <a:xfrm>
          <a:off x="2068592" y="10194845"/>
          <a:ext cx="1069181" cy="596742"/>
        </a:xfrm>
        <a:custGeom>
          <a:avLst/>
          <a:gdLst>
            <a:gd name="connsiteX0" fmla="*/ 791766 w 1059656"/>
            <a:gd name="connsiteY0" fmla="*/ 363141 h 571500"/>
            <a:gd name="connsiteX1" fmla="*/ 0 w 1059656"/>
            <a:gd name="connsiteY1" fmla="*/ 357188 h 571500"/>
            <a:gd name="connsiteX2" fmla="*/ 0 w 1059656"/>
            <a:gd name="connsiteY2" fmla="*/ 0 h 571500"/>
            <a:gd name="connsiteX3" fmla="*/ 1053703 w 1059656"/>
            <a:gd name="connsiteY3" fmla="*/ 5953 h 571500"/>
            <a:gd name="connsiteX4" fmla="*/ 1059656 w 1059656"/>
            <a:gd name="connsiteY4" fmla="*/ 565547 h 571500"/>
            <a:gd name="connsiteX5" fmla="*/ 250031 w 1059656"/>
            <a:gd name="connsiteY5" fmla="*/ 571500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059656" h="571500">
              <a:moveTo>
                <a:pt x="791766" y="363141"/>
              </a:moveTo>
              <a:lnTo>
                <a:pt x="0" y="357188"/>
              </a:lnTo>
              <a:lnTo>
                <a:pt x="0" y="0"/>
              </a:lnTo>
              <a:lnTo>
                <a:pt x="1053703" y="5953"/>
              </a:lnTo>
              <a:cubicBezTo>
                <a:pt x="1055687" y="192484"/>
                <a:pt x="1057672" y="379016"/>
                <a:pt x="1059656" y="565547"/>
              </a:cubicBezTo>
              <a:lnTo>
                <a:pt x="250031" y="571500"/>
              </a:lnTo>
            </a:path>
          </a:pathLst>
        </a:custGeom>
        <a:noFill/>
        <a:ln>
          <a:solidFill>
            <a:srgbClr val="FF3300"/>
          </a:solidFill>
          <a:prstDash val="sysDot"/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47625</xdr:colOff>
      <xdr:row>51</xdr:row>
      <xdr:rowOff>23812</xdr:rowOff>
    </xdr:from>
    <xdr:to>
      <xdr:col>13</xdr:col>
      <xdr:colOff>202406</xdr:colOff>
      <xdr:row>53</xdr:row>
      <xdr:rowOff>190499</xdr:rowOff>
    </xdr:to>
    <xdr:sp macro="" textlink="">
      <xdr:nvSpPr>
        <xdr:cNvPr id="7" name="자유형 10">
          <a:extLst>
            <a:ext uri="{FF2B5EF4-FFF2-40B4-BE49-F238E27FC236}">
              <a16:creationId xmlns:a16="http://schemas.microsoft.com/office/drawing/2014/main" id="{00B2834F-362E-4EDF-80D0-01D73E0A6409}"/>
            </a:ext>
          </a:extLst>
        </xdr:cNvPr>
        <xdr:cNvSpPr/>
      </xdr:nvSpPr>
      <xdr:spPr>
        <a:xfrm>
          <a:off x="2074545" y="11293792"/>
          <a:ext cx="1526381" cy="608647"/>
        </a:xfrm>
        <a:custGeom>
          <a:avLst/>
          <a:gdLst>
            <a:gd name="connsiteX0" fmla="*/ 1053703 w 1512094"/>
            <a:gd name="connsiteY0" fmla="*/ 559594 h 583406"/>
            <a:gd name="connsiteX1" fmla="*/ 1047750 w 1512094"/>
            <a:gd name="connsiteY1" fmla="*/ 214313 h 583406"/>
            <a:gd name="connsiteX2" fmla="*/ 833438 w 1512094"/>
            <a:gd name="connsiteY2" fmla="*/ 208360 h 583406"/>
            <a:gd name="connsiteX3" fmla="*/ 827485 w 1512094"/>
            <a:gd name="connsiteY3" fmla="*/ 583406 h 583406"/>
            <a:gd name="connsiteX4" fmla="*/ 607219 w 1512094"/>
            <a:gd name="connsiteY4" fmla="*/ 571500 h 583406"/>
            <a:gd name="connsiteX5" fmla="*/ 607219 w 1512094"/>
            <a:gd name="connsiteY5" fmla="*/ 238125 h 583406"/>
            <a:gd name="connsiteX6" fmla="*/ 381000 w 1512094"/>
            <a:gd name="connsiteY6" fmla="*/ 232172 h 583406"/>
            <a:gd name="connsiteX7" fmla="*/ 381000 w 1512094"/>
            <a:gd name="connsiteY7" fmla="*/ 571500 h 583406"/>
            <a:gd name="connsiteX8" fmla="*/ 5953 w 1512094"/>
            <a:gd name="connsiteY8" fmla="*/ 571500 h 583406"/>
            <a:gd name="connsiteX9" fmla="*/ 0 w 1512094"/>
            <a:gd name="connsiteY9" fmla="*/ 11906 h 583406"/>
            <a:gd name="connsiteX10" fmla="*/ 1494235 w 1512094"/>
            <a:gd name="connsiteY10" fmla="*/ 0 h 583406"/>
            <a:gd name="connsiteX11" fmla="*/ 1512094 w 1512094"/>
            <a:gd name="connsiteY11" fmla="*/ 351235 h 583406"/>
            <a:gd name="connsiteX12" fmla="*/ 1250156 w 1512094"/>
            <a:gd name="connsiteY12" fmla="*/ 357188 h 583406"/>
            <a:gd name="connsiteX13" fmla="*/ 1256110 w 1512094"/>
            <a:gd name="connsiteY13" fmla="*/ 577453 h 58340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1512094" h="583406">
              <a:moveTo>
                <a:pt x="1053703" y="559594"/>
              </a:moveTo>
              <a:lnTo>
                <a:pt x="1047750" y="214313"/>
              </a:lnTo>
              <a:lnTo>
                <a:pt x="833438" y="208360"/>
              </a:lnTo>
              <a:cubicBezTo>
                <a:pt x="831454" y="333375"/>
                <a:pt x="829469" y="458391"/>
                <a:pt x="827485" y="583406"/>
              </a:cubicBezTo>
              <a:lnTo>
                <a:pt x="607219" y="571500"/>
              </a:lnTo>
              <a:lnTo>
                <a:pt x="607219" y="238125"/>
              </a:lnTo>
              <a:lnTo>
                <a:pt x="381000" y="232172"/>
              </a:lnTo>
              <a:lnTo>
                <a:pt x="381000" y="571500"/>
              </a:lnTo>
              <a:lnTo>
                <a:pt x="5953" y="571500"/>
              </a:lnTo>
              <a:cubicBezTo>
                <a:pt x="3969" y="384969"/>
                <a:pt x="1984" y="198437"/>
                <a:pt x="0" y="11906"/>
              </a:cubicBezTo>
              <a:lnTo>
                <a:pt x="1494235" y="0"/>
              </a:lnTo>
              <a:lnTo>
                <a:pt x="1512094" y="351235"/>
              </a:lnTo>
              <a:lnTo>
                <a:pt x="1250156" y="357188"/>
              </a:lnTo>
              <a:lnTo>
                <a:pt x="1256110" y="577453"/>
              </a:lnTo>
            </a:path>
          </a:pathLst>
        </a:custGeom>
        <a:noFill/>
        <a:ln>
          <a:solidFill>
            <a:srgbClr val="FF3300"/>
          </a:solidFill>
          <a:prstDash val="sysDot"/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29765</xdr:colOff>
      <xdr:row>56</xdr:row>
      <xdr:rowOff>17859</xdr:rowOff>
    </xdr:from>
    <xdr:to>
      <xdr:col>13</xdr:col>
      <xdr:colOff>0</xdr:colOff>
      <xdr:row>58</xdr:row>
      <xdr:rowOff>190500</xdr:rowOff>
    </xdr:to>
    <xdr:sp macro="" textlink="">
      <xdr:nvSpPr>
        <xdr:cNvPr id="8" name="자유형 11">
          <a:extLst>
            <a:ext uri="{FF2B5EF4-FFF2-40B4-BE49-F238E27FC236}">
              <a16:creationId xmlns:a16="http://schemas.microsoft.com/office/drawing/2014/main" id="{51FF55F1-C3DC-4657-991F-8EB3BA3F5BE3}"/>
            </a:ext>
          </a:extLst>
        </xdr:cNvPr>
        <xdr:cNvSpPr/>
      </xdr:nvSpPr>
      <xdr:spPr>
        <a:xfrm>
          <a:off x="1828085" y="12392739"/>
          <a:ext cx="1570435" cy="614601"/>
        </a:xfrm>
        <a:custGeom>
          <a:avLst/>
          <a:gdLst>
            <a:gd name="connsiteX0" fmla="*/ 1518047 w 1553766"/>
            <a:gd name="connsiteY0" fmla="*/ 589360 h 589360"/>
            <a:gd name="connsiteX1" fmla="*/ 482203 w 1553766"/>
            <a:gd name="connsiteY1" fmla="*/ 589360 h 589360"/>
            <a:gd name="connsiteX2" fmla="*/ 482203 w 1553766"/>
            <a:gd name="connsiteY2" fmla="*/ 363141 h 589360"/>
            <a:gd name="connsiteX3" fmla="*/ 5953 w 1553766"/>
            <a:gd name="connsiteY3" fmla="*/ 375047 h 589360"/>
            <a:gd name="connsiteX4" fmla="*/ 0 w 1553766"/>
            <a:gd name="connsiteY4" fmla="*/ 0 h 589360"/>
            <a:gd name="connsiteX5" fmla="*/ 1553766 w 1553766"/>
            <a:gd name="connsiteY5" fmla="*/ 0 h 589360"/>
            <a:gd name="connsiteX6" fmla="*/ 1547813 w 1553766"/>
            <a:gd name="connsiteY6" fmla="*/ 381000 h 589360"/>
            <a:gd name="connsiteX7" fmla="*/ 732234 w 1553766"/>
            <a:gd name="connsiteY7" fmla="*/ 381000 h 58936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553766" h="589360">
              <a:moveTo>
                <a:pt x="1518047" y="589360"/>
              </a:moveTo>
              <a:lnTo>
                <a:pt x="482203" y="589360"/>
              </a:lnTo>
              <a:lnTo>
                <a:pt x="482203" y="363141"/>
              </a:lnTo>
              <a:lnTo>
                <a:pt x="5953" y="375047"/>
              </a:lnTo>
              <a:cubicBezTo>
                <a:pt x="3969" y="250031"/>
                <a:pt x="1984" y="125016"/>
                <a:pt x="0" y="0"/>
              </a:cubicBezTo>
              <a:lnTo>
                <a:pt x="1553766" y="0"/>
              </a:lnTo>
              <a:cubicBezTo>
                <a:pt x="1551782" y="127000"/>
                <a:pt x="1549797" y="254000"/>
                <a:pt x="1547813" y="381000"/>
              </a:cubicBezTo>
              <a:lnTo>
                <a:pt x="732234" y="381000"/>
              </a:lnTo>
            </a:path>
          </a:pathLst>
        </a:custGeom>
        <a:noFill/>
        <a:ln>
          <a:solidFill>
            <a:srgbClr val="FF3300"/>
          </a:solidFill>
          <a:prstDash val="sysDot"/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17859</xdr:colOff>
      <xdr:row>61</xdr:row>
      <xdr:rowOff>17860</xdr:rowOff>
    </xdr:from>
    <xdr:to>
      <xdr:col>11</xdr:col>
      <xdr:colOff>208360</xdr:colOff>
      <xdr:row>63</xdr:row>
      <xdr:rowOff>184547</xdr:rowOff>
    </xdr:to>
    <xdr:sp macro="" textlink="">
      <xdr:nvSpPr>
        <xdr:cNvPr id="9" name="자유형 12">
          <a:extLst>
            <a:ext uri="{FF2B5EF4-FFF2-40B4-BE49-F238E27FC236}">
              <a16:creationId xmlns:a16="http://schemas.microsoft.com/office/drawing/2014/main" id="{ED828554-3393-4F9E-B7A3-917E2C231F3D}"/>
            </a:ext>
          </a:extLst>
        </xdr:cNvPr>
        <xdr:cNvSpPr/>
      </xdr:nvSpPr>
      <xdr:spPr>
        <a:xfrm>
          <a:off x="2273379" y="13497640"/>
          <a:ext cx="876301" cy="608647"/>
        </a:xfrm>
        <a:custGeom>
          <a:avLst/>
          <a:gdLst>
            <a:gd name="connsiteX0" fmla="*/ 607219 w 869157"/>
            <a:gd name="connsiteY0" fmla="*/ 375046 h 583406"/>
            <a:gd name="connsiteX1" fmla="*/ 0 w 869157"/>
            <a:gd name="connsiteY1" fmla="*/ 375046 h 583406"/>
            <a:gd name="connsiteX2" fmla="*/ 0 w 869157"/>
            <a:gd name="connsiteY2" fmla="*/ 0 h 583406"/>
            <a:gd name="connsiteX3" fmla="*/ 869157 w 869157"/>
            <a:gd name="connsiteY3" fmla="*/ 5953 h 583406"/>
            <a:gd name="connsiteX4" fmla="*/ 869157 w 869157"/>
            <a:gd name="connsiteY4" fmla="*/ 583406 h 583406"/>
            <a:gd name="connsiteX5" fmla="*/ 511969 w 869157"/>
            <a:gd name="connsiteY5" fmla="*/ 583406 h 58340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869157" h="583406">
              <a:moveTo>
                <a:pt x="607219" y="375046"/>
              </a:moveTo>
              <a:lnTo>
                <a:pt x="0" y="375046"/>
              </a:lnTo>
              <a:lnTo>
                <a:pt x="0" y="0"/>
              </a:lnTo>
              <a:lnTo>
                <a:pt x="869157" y="5953"/>
              </a:lnTo>
              <a:lnTo>
                <a:pt x="869157" y="583406"/>
              </a:lnTo>
              <a:lnTo>
                <a:pt x="511969" y="583406"/>
              </a:lnTo>
            </a:path>
          </a:pathLst>
        </a:custGeom>
        <a:noFill/>
        <a:ln>
          <a:solidFill>
            <a:srgbClr val="FF3300"/>
          </a:solidFill>
          <a:prstDash val="sysDot"/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41671</xdr:colOff>
      <xdr:row>66</xdr:row>
      <xdr:rowOff>11906</xdr:rowOff>
    </xdr:from>
    <xdr:to>
      <xdr:col>12</xdr:col>
      <xdr:colOff>208359</xdr:colOff>
      <xdr:row>68</xdr:row>
      <xdr:rowOff>196453</xdr:rowOff>
    </xdr:to>
    <xdr:sp macro="" textlink="">
      <xdr:nvSpPr>
        <xdr:cNvPr id="10" name="자유형 13">
          <a:extLst>
            <a:ext uri="{FF2B5EF4-FFF2-40B4-BE49-F238E27FC236}">
              <a16:creationId xmlns:a16="http://schemas.microsoft.com/office/drawing/2014/main" id="{858DF6D3-723E-46C1-9ED5-160D157046BF}"/>
            </a:ext>
          </a:extLst>
        </xdr:cNvPr>
        <xdr:cNvSpPr/>
      </xdr:nvSpPr>
      <xdr:spPr>
        <a:xfrm>
          <a:off x="1839991" y="14596586"/>
          <a:ext cx="1538288" cy="626507"/>
        </a:xfrm>
        <a:custGeom>
          <a:avLst/>
          <a:gdLst>
            <a:gd name="connsiteX0" fmla="*/ 1041797 w 1524000"/>
            <a:gd name="connsiteY0" fmla="*/ 238125 h 601265"/>
            <a:gd name="connsiteX1" fmla="*/ 1047750 w 1524000"/>
            <a:gd name="connsiteY1" fmla="*/ 589359 h 601265"/>
            <a:gd name="connsiteX2" fmla="*/ 833438 w 1524000"/>
            <a:gd name="connsiteY2" fmla="*/ 583406 h 601265"/>
            <a:gd name="connsiteX3" fmla="*/ 839391 w 1524000"/>
            <a:gd name="connsiteY3" fmla="*/ 226218 h 601265"/>
            <a:gd name="connsiteX4" fmla="*/ 619125 w 1524000"/>
            <a:gd name="connsiteY4" fmla="*/ 226218 h 601265"/>
            <a:gd name="connsiteX5" fmla="*/ 625078 w 1524000"/>
            <a:gd name="connsiteY5" fmla="*/ 589359 h 601265"/>
            <a:gd name="connsiteX6" fmla="*/ 386953 w 1524000"/>
            <a:gd name="connsiteY6" fmla="*/ 589359 h 601265"/>
            <a:gd name="connsiteX7" fmla="*/ 392907 w 1524000"/>
            <a:gd name="connsiteY7" fmla="*/ 232172 h 601265"/>
            <a:gd name="connsiteX8" fmla="*/ 5953 w 1524000"/>
            <a:gd name="connsiteY8" fmla="*/ 232172 h 601265"/>
            <a:gd name="connsiteX9" fmla="*/ 0 w 1524000"/>
            <a:gd name="connsiteY9" fmla="*/ 0 h 601265"/>
            <a:gd name="connsiteX10" fmla="*/ 1512094 w 1524000"/>
            <a:gd name="connsiteY10" fmla="*/ 5953 h 601265"/>
            <a:gd name="connsiteX11" fmla="*/ 1518047 w 1524000"/>
            <a:gd name="connsiteY11" fmla="*/ 392906 h 601265"/>
            <a:gd name="connsiteX12" fmla="*/ 1273969 w 1524000"/>
            <a:gd name="connsiteY12" fmla="*/ 381000 h 601265"/>
            <a:gd name="connsiteX13" fmla="*/ 1285875 w 1524000"/>
            <a:gd name="connsiteY13" fmla="*/ 601265 h 601265"/>
            <a:gd name="connsiteX14" fmla="*/ 1524000 w 1524000"/>
            <a:gd name="connsiteY14" fmla="*/ 595312 h 60126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</a:cxnLst>
          <a:rect l="l" t="t" r="r" b="b"/>
          <a:pathLst>
            <a:path w="1524000" h="601265">
              <a:moveTo>
                <a:pt x="1041797" y="238125"/>
              </a:moveTo>
              <a:lnTo>
                <a:pt x="1047750" y="589359"/>
              </a:lnTo>
              <a:lnTo>
                <a:pt x="833438" y="583406"/>
              </a:lnTo>
              <a:cubicBezTo>
                <a:pt x="835422" y="464343"/>
                <a:pt x="837407" y="345281"/>
                <a:pt x="839391" y="226218"/>
              </a:cubicBezTo>
              <a:lnTo>
                <a:pt x="619125" y="226218"/>
              </a:lnTo>
              <a:cubicBezTo>
                <a:pt x="621109" y="347265"/>
                <a:pt x="623094" y="468312"/>
                <a:pt x="625078" y="589359"/>
              </a:cubicBezTo>
              <a:lnTo>
                <a:pt x="386953" y="589359"/>
              </a:lnTo>
              <a:cubicBezTo>
                <a:pt x="388938" y="470297"/>
                <a:pt x="390922" y="351234"/>
                <a:pt x="392907" y="232172"/>
              </a:cubicBezTo>
              <a:lnTo>
                <a:pt x="5953" y="232172"/>
              </a:lnTo>
              <a:lnTo>
                <a:pt x="0" y="0"/>
              </a:lnTo>
              <a:lnTo>
                <a:pt x="1512094" y="5953"/>
              </a:lnTo>
              <a:cubicBezTo>
                <a:pt x="1514078" y="134937"/>
                <a:pt x="1516063" y="263922"/>
                <a:pt x="1518047" y="392906"/>
              </a:cubicBezTo>
              <a:lnTo>
                <a:pt x="1273969" y="381000"/>
              </a:lnTo>
              <a:lnTo>
                <a:pt x="1285875" y="601265"/>
              </a:lnTo>
              <a:lnTo>
                <a:pt x="1524000" y="595312"/>
              </a:lnTo>
            </a:path>
          </a:pathLst>
        </a:custGeom>
        <a:noFill/>
        <a:ln>
          <a:solidFill>
            <a:srgbClr val="FF3300"/>
          </a:solidFill>
          <a:prstDash val="sysDot"/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17859</xdr:colOff>
      <xdr:row>71</xdr:row>
      <xdr:rowOff>5953</xdr:rowOff>
    </xdr:from>
    <xdr:to>
      <xdr:col>12</xdr:col>
      <xdr:colOff>196453</xdr:colOff>
      <xdr:row>73</xdr:row>
      <xdr:rowOff>184546</xdr:rowOff>
    </xdr:to>
    <xdr:sp macro="" textlink="">
      <xdr:nvSpPr>
        <xdr:cNvPr id="11" name="자유형 14">
          <a:extLst>
            <a:ext uri="{FF2B5EF4-FFF2-40B4-BE49-F238E27FC236}">
              <a16:creationId xmlns:a16="http://schemas.microsoft.com/office/drawing/2014/main" id="{6936CF22-3EC0-4344-8DEB-9F050860C206}"/>
            </a:ext>
          </a:extLst>
        </xdr:cNvPr>
        <xdr:cNvSpPr/>
      </xdr:nvSpPr>
      <xdr:spPr>
        <a:xfrm>
          <a:off x="1587579" y="15695533"/>
          <a:ext cx="1778794" cy="620553"/>
        </a:xfrm>
        <a:custGeom>
          <a:avLst/>
          <a:gdLst>
            <a:gd name="connsiteX0" fmla="*/ 1524000 w 1762125"/>
            <a:gd name="connsiteY0" fmla="*/ 595312 h 595312"/>
            <a:gd name="connsiteX1" fmla="*/ 845344 w 1762125"/>
            <a:gd name="connsiteY1" fmla="*/ 571500 h 595312"/>
            <a:gd name="connsiteX2" fmla="*/ 851297 w 1762125"/>
            <a:gd name="connsiteY2" fmla="*/ 238125 h 595312"/>
            <a:gd name="connsiteX3" fmla="*/ 625078 w 1762125"/>
            <a:gd name="connsiteY3" fmla="*/ 238125 h 595312"/>
            <a:gd name="connsiteX4" fmla="*/ 636984 w 1762125"/>
            <a:gd name="connsiteY4" fmla="*/ 595312 h 595312"/>
            <a:gd name="connsiteX5" fmla="*/ 404813 w 1762125"/>
            <a:gd name="connsiteY5" fmla="*/ 595312 h 595312"/>
            <a:gd name="connsiteX6" fmla="*/ 410766 w 1762125"/>
            <a:gd name="connsiteY6" fmla="*/ 238125 h 595312"/>
            <a:gd name="connsiteX7" fmla="*/ 0 w 1762125"/>
            <a:gd name="connsiteY7" fmla="*/ 220265 h 595312"/>
            <a:gd name="connsiteX8" fmla="*/ 5953 w 1762125"/>
            <a:gd name="connsiteY8" fmla="*/ 0 h 595312"/>
            <a:gd name="connsiteX9" fmla="*/ 1762125 w 1762125"/>
            <a:gd name="connsiteY9" fmla="*/ 17859 h 595312"/>
            <a:gd name="connsiteX10" fmla="*/ 1762125 w 1762125"/>
            <a:gd name="connsiteY10" fmla="*/ 369094 h 595312"/>
            <a:gd name="connsiteX11" fmla="*/ 928688 w 1762125"/>
            <a:gd name="connsiteY11" fmla="*/ 386953 h 59531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1762125" h="595312">
              <a:moveTo>
                <a:pt x="1524000" y="595312"/>
              </a:moveTo>
              <a:lnTo>
                <a:pt x="845344" y="571500"/>
              </a:lnTo>
              <a:lnTo>
                <a:pt x="851297" y="238125"/>
              </a:lnTo>
              <a:lnTo>
                <a:pt x="625078" y="238125"/>
              </a:lnTo>
              <a:lnTo>
                <a:pt x="636984" y="595312"/>
              </a:lnTo>
              <a:lnTo>
                <a:pt x="404813" y="595312"/>
              </a:lnTo>
              <a:lnTo>
                <a:pt x="410766" y="238125"/>
              </a:lnTo>
              <a:lnTo>
                <a:pt x="0" y="220265"/>
              </a:lnTo>
              <a:lnTo>
                <a:pt x="5953" y="0"/>
              </a:lnTo>
              <a:lnTo>
                <a:pt x="1762125" y="17859"/>
              </a:lnTo>
              <a:lnTo>
                <a:pt x="1762125" y="369094"/>
              </a:lnTo>
              <a:lnTo>
                <a:pt x="928688" y="386953"/>
              </a:lnTo>
            </a:path>
          </a:pathLst>
        </a:custGeom>
        <a:noFill/>
        <a:ln>
          <a:solidFill>
            <a:srgbClr val="FF3300"/>
          </a:solidFill>
          <a:prstDash val="sysDot"/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35718</xdr:colOff>
      <xdr:row>76</xdr:row>
      <xdr:rowOff>29766</xdr:rowOff>
    </xdr:from>
    <xdr:to>
      <xdr:col>12</xdr:col>
      <xdr:colOff>196453</xdr:colOff>
      <xdr:row>78</xdr:row>
      <xdr:rowOff>184547</xdr:rowOff>
    </xdr:to>
    <xdr:sp macro="" textlink="">
      <xdr:nvSpPr>
        <xdr:cNvPr id="12" name="자유형 15">
          <a:extLst>
            <a:ext uri="{FF2B5EF4-FFF2-40B4-BE49-F238E27FC236}">
              <a16:creationId xmlns:a16="http://schemas.microsoft.com/office/drawing/2014/main" id="{DFC73576-C962-4EAD-A035-90AAAD06182A}"/>
            </a:ext>
          </a:extLst>
        </xdr:cNvPr>
        <xdr:cNvSpPr/>
      </xdr:nvSpPr>
      <xdr:spPr>
        <a:xfrm>
          <a:off x="1605438" y="16824246"/>
          <a:ext cx="1760935" cy="596741"/>
        </a:xfrm>
        <a:custGeom>
          <a:avLst/>
          <a:gdLst>
            <a:gd name="connsiteX0" fmla="*/ 708422 w 1744266"/>
            <a:gd name="connsiteY0" fmla="*/ 208359 h 571500"/>
            <a:gd name="connsiteX1" fmla="*/ 1053704 w 1744266"/>
            <a:gd name="connsiteY1" fmla="*/ 208359 h 571500"/>
            <a:gd name="connsiteX2" fmla="*/ 1059657 w 1744266"/>
            <a:gd name="connsiteY2" fmla="*/ 571500 h 571500"/>
            <a:gd name="connsiteX3" fmla="*/ 607219 w 1744266"/>
            <a:gd name="connsiteY3" fmla="*/ 553640 h 571500"/>
            <a:gd name="connsiteX4" fmla="*/ 595313 w 1744266"/>
            <a:gd name="connsiteY4" fmla="*/ 220265 h 571500"/>
            <a:gd name="connsiteX5" fmla="*/ 381000 w 1744266"/>
            <a:gd name="connsiteY5" fmla="*/ 208359 h 571500"/>
            <a:gd name="connsiteX6" fmla="*/ 375047 w 1744266"/>
            <a:gd name="connsiteY6" fmla="*/ 559593 h 571500"/>
            <a:gd name="connsiteX7" fmla="*/ 0 w 1744266"/>
            <a:gd name="connsiteY7" fmla="*/ 559593 h 571500"/>
            <a:gd name="connsiteX8" fmla="*/ 0 w 1744266"/>
            <a:gd name="connsiteY8" fmla="*/ 11906 h 571500"/>
            <a:gd name="connsiteX9" fmla="*/ 1738313 w 1744266"/>
            <a:gd name="connsiteY9" fmla="*/ 0 h 571500"/>
            <a:gd name="connsiteX10" fmla="*/ 1744266 w 1744266"/>
            <a:gd name="connsiteY10" fmla="*/ 351234 h 571500"/>
            <a:gd name="connsiteX11" fmla="*/ 1250157 w 1744266"/>
            <a:gd name="connsiteY11" fmla="*/ 363140 h 571500"/>
            <a:gd name="connsiteX12" fmla="*/ 1268016 w 1744266"/>
            <a:gd name="connsiteY12" fmla="*/ 541734 h 571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</a:cxnLst>
          <a:rect l="l" t="t" r="r" b="b"/>
          <a:pathLst>
            <a:path w="1744266" h="571500">
              <a:moveTo>
                <a:pt x="708422" y="208359"/>
              </a:moveTo>
              <a:lnTo>
                <a:pt x="1053704" y="208359"/>
              </a:lnTo>
              <a:cubicBezTo>
                <a:pt x="1055688" y="329406"/>
                <a:pt x="1057673" y="450453"/>
                <a:pt x="1059657" y="571500"/>
              </a:cubicBezTo>
              <a:lnTo>
                <a:pt x="607219" y="553640"/>
              </a:lnTo>
              <a:lnTo>
                <a:pt x="595313" y="220265"/>
              </a:lnTo>
              <a:lnTo>
                <a:pt x="381000" y="208359"/>
              </a:lnTo>
              <a:lnTo>
                <a:pt x="375047" y="559593"/>
              </a:lnTo>
              <a:lnTo>
                <a:pt x="0" y="559593"/>
              </a:lnTo>
              <a:lnTo>
                <a:pt x="0" y="11906"/>
              </a:lnTo>
              <a:lnTo>
                <a:pt x="1738313" y="0"/>
              </a:lnTo>
              <a:lnTo>
                <a:pt x="1744266" y="351234"/>
              </a:lnTo>
              <a:lnTo>
                <a:pt x="1250157" y="363140"/>
              </a:lnTo>
              <a:lnTo>
                <a:pt x="1268016" y="541734"/>
              </a:lnTo>
            </a:path>
          </a:pathLst>
        </a:custGeom>
        <a:noFill/>
        <a:ln>
          <a:solidFill>
            <a:srgbClr val="FF3300"/>
          </a:solidFill>
          <a:prstDash val="sysDot"/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65484</xdr:colOff>
      <xdr:row>82</xdr:row>
      <xdr:rowOff>29766</xdr:rowOff>
    </xdr:from>
    <xdr:to>
      <xdr:col>12</xdr:col>
      <xdr:colOff>196453</xdr:colOff>
      <xdr:row>85</xdr:row>
      <xdr:rowOff>160735</xdr:rowOff>
    </xdr:to>
    <xdr:sp macro="" textlink="">
      <xdr:nvSpPr>
        <xdr:cNvPr id="13" name="자유형 16">
          <a:extLst>
            <a:ext uri="{FF2B5EF4-FFF2-40B4-BE49-F238E27FC236}">
              <a16:creationId xmlns:a16="http://schemas.microsoft.com/office/drawing/2014/main" id="{56BC14DC-58F4-4236-9152-40FE7EF8B3CE}"/>
            </a:ext>
          </a:extLst>
        </xdr:cNvPr>
        <xdr:cNvSpPr/>
      </xdr:nvSpPr>
      <xdr:spPr>
        <a:xfrm>
          <a:off x="1635204" y="18150126"/>
          <a:ext cx="1731169" cy="793909"/>
        </a:xfrm>
        <a:custGeom>
          <a:avLst/>
          <a:gdLst>
            <a:gd name="connsiteX0" fmla="*/ 1262063 w 1714500"/>
            <a:gd name="connsiteY0" fmla="*/ 756047 h 756047"/>
            <a:gd name="connsiteX1" fmla="*/ 1256109 w 1714500"/>
            <a:gd name="connsiteY1" fmla="*/ 214312 h 756047"/>
            <a:gd name="connsiteX2" fmla="*/ 1029891 w 1714500"/>
            <a:gd name="connsiteY2" fmla="*/ 208359 h 756047"/>
            <a:gd name="connsiteX3" fmla="*/ 1035844 w 1714500"/>
            <a:gd name="connsiteY3" fmla="*/ 559594 h 756047"/>
            <a:gd name="connsiteX4" fmla="*/ 809625 w 1714500"/>
            <a:gd name="connsiteY4" fmla="*/ 547687 h 756047"/>
            <a:gd name="connsiteX5" fmla="*/ 809625 w 1714500"/>
            <a:gd name="connsiteY5" fmla="*/ 214312 h 756047"/>
            <a:gd name="connsiteX6" fmla="*/ 565547 w 1714500"/>
            <a:gd name="connsiteY6" fmla="*/ 214312 h 756047"/>
            <a:gd name="connsiteX7" fmla="*/ 571500 w 1714500"/>
            <a:gd name="connsiteY7" fmla="*/ 547687 h 756047"/>
            <a:gd name="connsiteX8" fmla="*/ 357188 w 1714500"/>
            <a:gd name="connsiteY8" fmla="*/ 547687 h 756047"/>
            <a:gd name="connsiteX9" fmla="*/ 351234 w 1714500"/>
            <a:gd name="connsiteY9" fmla="*/ 214312 h 756047"/>
            <a:gd name="connsiteX10" fmla="*/ 0 w 1714500"/>
            <a:gd name="connsiteY10" fmla="*/ 202406 h 756047"/>
            <a:gd name="connsiteX11" fmla="*/ 0 w 1714500"/>
            <a:gd name="connsiteY11" fmla="*/ 0 h 756047"/>
            <a:gd name="connsiteX12" fmla="*/ 1702594 w 1714500"/>
            <a:gd name="connsiteY12" fmla="*/ 0 h 756047"/>
            <a:gd name="connsiteX13" fmla="*/ 1696641 w 1714500"/>
            <a:gd name="connsiteY13" fmla="*/ 369094 h 756047"/>
            <a:gd name="connsiteX14" fmla="*/ 1476375 w 1714500"/>
            <a:gd name="connsiteY14" fmla="*/ 375047 h 756047"/>
            <a:gd name="connsiteX15" fmla="*/ 1494234 w 1714500"/>
            <a:gd name="connsiteY15" fmla="*/ 577453 h 756047"/>
            <a:gd name="connsiteX16" fmla="*/ 1714500 w 1714500"/>
            <a:gd name="connsiteY16" fmla="*/ 571500 h 75604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</a:cxnLst>
          <a:rect l="l" t="t" r="r" b="b"/>
          <a:pathLst>
            <a:path w="1714500" h="756047">
              <a:moveTo>
                <a:pt x="1262063" y="756047"/>
              </a:moveTo>
              <a:cubicBezTo>
                <a:pt x="1260078" y="575469"/>
                <a:pt x="1258094" y="394890"/>
                <a:pt x="1256109" y="214312"/>
              </a:cubicBezTo>
              <a:lnTo>
                <a:pt x="1029891" y="208359"/>
              </a:lnTo>
              <a:lnTo>
                <a:pt x="1035844" y="559594"/>
              </a:lnTo>
              <a:lnTo>
                <a:pt x="809625" y="547687"/>
              </a:lnTo>
              <a:lnTo>
                <a:pt x="809625" y="214312"/>
              </a:lnTo>
              <a:lnTo>
                <a:pt x="565547" y="214312"/>
              </a:lnTo>
              <a:lnTo>
                <a:pt x="571500" y="547687"/>
              </a:lnTo>
              <a:lnTo>
                <a:pt x="357188" y="547687"/>
              </a:lnTo>
              <a:lnTo>
                <a:pt x="351234" y="214312"/>
              </a:lnTo>
              <a:lnTo>
                <a:pt x="0" y="202406"/>
              </a:lnTo>
              <a:lnTo>
                <a:pt x="0" y="0"/>
              </a:lnTo>
              <a:lnTo>
                <a:pt x="1702594" y="0"/>
              </a:lnTo>
              <a:cubicBezTo>
                <a:pt x="1700610" y="123031"/>
                <a:pt x="1698625" y="246063"/>
                <a:pt x="1696641" y="369094"/>
              </a:cubicBezTo>
              <a:lnTo>
                <a:pt x="1476375" y="375047"/>
              </a:lnTo>
              <a:lnTo>
                <a:pt x="1494234" y="577453"/>
              </a:lnTo>
              <a:lnTo>
                <a:pt x="1714500" y="571500"/>
              </a:lnTo>
            </a:path>
          </a:pathLst>
        </a:custGeom>
        <a:noFill/>
        <a:ln>
          <a:solidFill>
            <a:srgbClr val="FF3300"/>
          </a:solidFill>
          <a:prstDash val="sysDot"/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17859</xdr:colOff>
      <xdr:row>88</xdr:row>
      <xdr:rowOff>41671</xdr:rowOff>
    </xdr:from>
    <xdr:to>
      <xdr:col>12</xdr:col>
      <xdr:colOff>196453</xdr:colOff>
      <xdr:row>90</xdr:row>
      <xdr:rowOff>184547</xdr:rowOff>
    </xdr:to>
    <xdr:sp macro="" textlink="">
      <xdr:nvSpPr>
        <xdr:cNvPr id="14" name="자유형 17">
          <a:extLst>
            <a:ext uri="{FF2B5EF4-FFF2-40B4-BE49-F238E27FC236}">
              <a16:creationId xmlns:a16="http://schemas.microsoft.com/office/drawing/2014/main" id="{614C8242-CB0D-493F-A3F8-6D502A1CDBDC}"/>
            </a:ext>
          </a:extLst>
        </xdr:cNvPr>
        <xdr:cNvSpPr/>
      </xdr:nvSpPr>
      <xdr:spPr>
        <a:xfrm>
          <a:off x="1816179" y="19487911"/>
          <a:ext cx="1550194" cy="584836"/>
        </a:xfrm>
        <a:custGeom>
          <a:avLst/>
          <a:gdLst>
            <a:gd name="connsiteX0" fmla="*/ 279797 w 1535906"/>
            <a:gd name="connsiteY0" fmla="*/ 559594 h 559594"/>
            <a:gd name="connsiteX1" fmla="*/ 1089422 w 1535906"/>
            <a:gd name="connsiteY1" fmla="*/ 553641 h 559594"/>
            <a:gd name="connsiteX2" fmla="*/ 1083469 w 1535906"/>
            <a:gd name="connsiteY2" fmla="*/ 339328 h 559594"/>
            <a:gd name="connsiteX3" fmla="*/ 0 w 1535906"/>
            <a:gd name="connsiteY3" fmla="*/ 351235 h 559594"/>
            <a:gd name="connsiteX4" fmla="*/ 5953 w 1535906"/>
            <a:gd name="connsiteY4" fmla="*/ 0 h 559594"/>
            <a:gd name="connsiteX5" fmla="*/ 1524000 w 1535906"/>
            <a:gd name="connsiteY5" fmla="*/ 0 h 559594"/>
            <a:gd name="connsiteX6" fmla="*/ 1535906 w 1535906"/>
            <a:gd name="connsiteY6" fmla="*/ 339328 h 559594"/>
            <a:gd name="connsiteX7" fmla="*/ 1279922 w 1535906"/>
            <a:gd name="connsiteY7" fmla="*/ 345282 h 559594"/>
            <a:gd name="connsiteX8" fmla="*/ 1297781 w 1535906"/>
            <a:gd name="connsiteY8" fmla="*/ 559594 h 559594"/>
            <a:gd name="connsiteX9" fmla="*/ 1524000 w 1535906"/>
            <a:gd name="connsiteY9" fmla="*/ 559594 h 55959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1535906" h="559594">
              <a:moveTo>
                <a:pt x="279797" y="559594"/>
              </a:moveTo>
              <a:lnTo>
                <a:pt x="1089422" y="553641"/>
              </a:lnTo>
              <a:lnTo>
                <a:pt x="1083469" y="339328"/>
              </a:lnTo>
              <a:lnTo>
                <a:pt x="0" y="351235"/>
              </a:lnTo>
              <a:lnTo>
                <a:pt x="5953" y="0"/>
              </a:lnTo>
              <a:lnTo>
                <a:pt x="1524000" y="0"/>
              </a:lnTo>
              <a:lnTo>
                <a:pt x="1535906" y="339328"/>
              </a:lnTo>
              <a:lnTo>
                <a:pt x="1279922" y="345282"/>
              </a:lnTo>
              <a:lnTo>
                <a:pt x="1297781" y="559594"/>
              </a:lnTo>
              <a:lnTo>
                <a:pt x="1524000" y="559594"/>
              </a:lnTo>
            </a:path>
          </a:pathLst>
        </a:custGeom>
        <a:noFill/>
        <a:ln>
          <a:solidFill>
            <a:srgbClr val="FF3300"/>
          </a:solidFill>
          <a:prstDash val="sysDot"/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29766</xdr:colOff>
      <xdr:row>93</xdr:row>
      <xdr:rowOff>23812</xdr:rowOff>
    </xdr:from>
    <xdr:to>
      <xdr:col>12</xdr:col>
      <xdr:colOff>202406</xdr:colOff>
      <xdr:row>94</xdr:row>
      <xdr:rowOff>190500</xdr:rowOff>
    </xdr:to>
    <xdr:sp macro="" textlink="">
      <xdr:nvSpPr>
        <xdr:cNvPr id="15" name="자유형 18">
          <a:extLst>
            <a:ext uri="{FF2B5EF4-FFF2-40B4-BE49-F238E27FC236}">
              <a16:creationId xmlns:a16="http://schemas.microsoft.com/office/drawing/2014/main" id="{36A6F38B-EB0E-440E-9455-EA93DD980531}"/>
            </a:ext>
          </a:extLst>
        </xdr:cNvPr>
        <xdr:cNvSpPr/>
      </xdr:nvSpPr>
      <xdr:spPr>
        <a:xfrm>
          <a:off x="2056686" y="20574952"/>
          <a:ext cx="1315640" cy="387668"/>
        </a:xfrm>
        <a:custGeom>
          <a:avLst/>
          <a:gdLst>
            <a:gd name="connsiteX0" fmla="*/ 357187 w 1303734"/>
            <a:gd name="connsiteY0" fmla="*/ 375047 h 375047"/>
            <a:gd name="connsiteX1" fmla="*/ 0 w 1303734"/>
            <a:gd name="connsiteY1" fmla="*/ 363141 h 375047"/>
            <a:gd name="connsiteX2" fmla="*/ 0 w 1303734"/>
            <a:gd name="connsiteY2" fmla="*/ 17860 h 375047"/>
            <a:gd name="connsiteX3" fmla="*/ 1297781 w 1303734"/>
            <a:gd name="connsiteY3" fmla="*/ 0 h 375047"/>
            <a:gd name="connsiteX4" fmla="*/ 1303734 w 1303734"/>
            <a:gd name="connsiteY4" fmla="*/ 363141 h 375047"/>
            <a:gd name="connsiteX5" fmla="*/ 547687 w 1303734"/>
            <a:gd name="connsiteY5" fmla="*/ 369094 h 37504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303734" h="375047">
              <a:moveTo>
                <a:pt x="357187" y="375047"/>
              </a:moveTo>
              <a:lnTo>
                <a:pt x="0" y="363141"/>
              </a:lnTo>
              <a:lnTo>
                <a:pt x="0" y="17860"/>
              </a:lnTo>
              <a:lnTo>
                <a:pt x="1297781" y="0"/>
              </a:lnTo>
              <a:cubicBezTo>
                <a:pt x="1299765" y="121047"/>
                <a:pt x="1301750" y="242094"/>
                <a:pt x="1303734" y="363141"/>
              </a:cubicBezTo>
              <a:lnTo>
                <a:pt x="547687" y="369094"/>
              </a:lnTo>
            </a:path>
          </a:pathLst>
        </a:custGeom>
        <a:noFill/>
        <a:ln>
          <a:solidFill>
            <a:srgbClr val="FF3300"/>
          </a:solidFill>
          <a:prstDash val="sysDot"/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29765</xdr:colOff>
      <xdr:row>97</xdr:row>
      <xdr:rowOff>11906</xdr:rowOff>
    </xdr:from>
    <xdr:to>
      <xdr:col>11</xdr:col>
      <xdr:colOff>190500</xdr:colOff>
      <xdr:row>100</xdr:row>
      <xdr:rowOff>0</xdr:rowOff>
    </xdr:to>
    <xdr:sp macro="" textlink="">
      <xdr:nvSpPr>
        <xdr:cNvPr id="16" name="자유형 19">
          <a:extLst>
            <a:ext uri="{FF2B5EF4-FFF2-40B4-BE49-F238E27FC236}">
              <a16:creationId xmlns:a16="http://schemas.microsoft.com/office/drawing/2014/main" id="{A9AD84C8-A3D9-4D4C-83C9-AD7004D88D13}"/>
            </a:ext>
          </a:extLst>
        </xdr:cNvPr>
        <xdr:cNvSpPr/>
      </xdr:nvSpPr>
      <xdr:spPr>
        <a:xfrm>
          <a:off x="1828085" y="21446966"/>
          <a:ext cx="1303735" cy="651034"/>
        </a:xfrm>
        <a:custGeom>
          <a:avLst/>
          <a:gdLst>
            <a:gd name="connsiteX0" fmla="*/ 1065609 w 1291828"/>
            <a:gd name="connsiteY0" fmla="*/ 303610 h 619125"/>
            <a:gd name="connsiteX1" fmla="*/ 1071563 w 1291828"/>
            <a:gd name="connsiteY1" fmla="*/ 571500 h 619125"/>
            <a:gd name="connsiteX2" fmla="*/ 833438 w 1291828"/>
            <a:gd name="connsiteY2" fmla="*/ 577453 h 619125"/>
            <a:gd name="connsiteX3" fmla="*/ 833438 w 1291828"/>
            <a:gd name="connsiteY3" fmla="*/ 232172 h 619125"/>
            <a:gd name="connsiteX4" fmla="*/ 595313 w 1291828"/>
            <a:gd name="connsiteY4" fmla="*/ 226219 h 619125"/>
            <a:gd name="connsiteX5" fmla="*/ 613172 w 1291828"/>
            <a:gd name="connsiteY5" fmla="*/ 577453 h 619125"/>
            <a:gd name="connsiteX6" fmla="*/ 363141 w 1291828"/>
            <a:gd name="connsiteY6" fmla="*/ 571500 h 619125"/>
            <a:gd name="connsiteX7" fmla="*/ 369094 w 1291828"/>
            <a:gd name="connsiteY7" fmla="*/ 232172 h 619125"/>
            <a:gd name="connsiteX8" fmla="*/ 0 w 1291828"/>
            <a:gd name="connsiteY8" fmla="*/ 232172 h 619125"/>
            <a:gd name="connsiteX9" fmla="*/ 0 w 1291828"/>
            <a:gd name="connsiteY9" fmla="*/ 11906 h 619125"/>
            <a:gd name="connsiteX10" fmla="*/ 1291828 w 1291828"/>
            <a:gd name="connsiteY10" fmla="*/ 0 h 619125"/>
            <a:gd name="connsiteX11" fmla="*/ 1285875 w 1291828"/>
            <a:gd name="connsiteY11" fmla="*/ 619125 h 619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1291828" h="619125">
              <a:moveTo>
                <a:pt x="1065609" y="303610"/>
              </a:moveTo>
              <a:lnTo>
                <a:pt x="1071563" y="571500"/>
              </a:lnTo>
              <a:lnTo>
                <a:pt x="833438" y="577453"/>
              </a:lnTo>
              <a:lnTo>
                <a:pt x="833438" y="232172"/>
              </a:lnTo>
              <a:lnTo>
                <a:pt x="595313" y="226219"/>
              </a:lnTo>
              <a:lnTo>
                <a:pt x="613172" y="577453"/>
              </a:lnTo>
              <a:lnTo>
                <a:pt x="363141" y="571500"/>
              </a:lnTo>
              <a:lnTo>
                <a:pt x="369094" y="232172"/>
              </a:lnTo>
              <a:lnTo>
                <a:pt x="0" y="232172"/>
              </a:lnTo>
              <a:lnTo>
                <a:pt x="0" y="11906"/>
              </a:lnTo>
              <a:lnTo>
                <a:pt x="1291828" y="0"/>
              </a:lnTo>
              <a:cubicBezTo>
                <a:pt x="1289844" y="206375"/>
                <a:pt x="1287859" y="412750"/>
                <a:pt x="1285875" y="619125"/>
              </a:cubicBezTo>
            </a:path>
          </a:pathLst>
        </a:custGeom>
        <a:noFill/>
        <a:ln>
          <a:solidFill>
            <a:srgbClr val="FF3300"/>
          </a:solidFill>
          <a:prstDash val="sysDot"/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35719</xdr:colOff>
      <xdr:row>102</xdr:row>
      <xdr:rowOff>23812</xdr:rowOff>
    </xdr:from>
    <xdr:to>
      <xdr:col>12</xdr:col>
      <xdr:colOff>184547</xdr:colOff>
      <xdr:row>104</xdr:row>
      <xdr:rowOff>190500</xdr:rowOff>
    </xdr:to>
    <xdr:sp macro="" textlink="">
      <xdr:nvSpPr>
        <xdr:cNvPr id="17" name="자유형 20">
          <a:extLst>
            <a:ext uri="{FF2B5EF4-FFF2-40B4-BE49-F238E27FC236}">
              <a16:creationId xmlns:a16="http://schemas.microsoft.com/office/drawing/2014/main" id="{10EEF3F4-FAE4-4AC6-A110-5DC9D7D34F0D}"/>
            </a:ext>
          </a:extLst>
        </xdr:cNvPr>
        <xdr:cNvSpPr/>
      </xdr:nvSpPr>
      <xdr:spPr>
        <a:xfrm>
          <a:off x="2062639" y="22563772"/>
          <a:ext cx="1291828" cy="608648"/>
        </a:xfrm>
        <a:custGeom>
          <a:avLst/>
          <a:gdLst>
            <a:gd name="connsiteX0" fmla="*/ 458391 w 1279922"/>
            <a:gd name="connsiteY0" fmla="*/ 577453 h 583406"/>
            <a:gd name="connsiteX1" fmla="*/ 464344 w 1279922"/>
            <a:gd name="connsiteY1" fmla="*/ 345281 h 583406"/>
            <a:gd name="connsiteX2" fmla="*/ 5953 w 1279922"/>
            <a:gd name="connsiteY2" fmla="*/ 339328 h 583406"/>
            <a:gd name="connsiteX3" fmla="*/ 0 w 1279922"/>
            <a:gd name="connsiteY3" fmla="*/ 0 h 583406"/>
            <a:gd name="connsiteX4" fmla="*/ 1279922 w 1279922"/>
            <a:gd name="connsiteY4" fmla="*/ 5953 h 583406"/>
            <a:gd name="connsiteX5" fmla="*/ 1268016 w 1279922"/>
            <a:gd name="connsiteY5" fmla="*/ 363141 h 583406"/>
            <a:gd name="connsiteX6" fmla="*/ 821531 w 1279922"/>
            <a:gd name="connsiteY6" fmla="*/ 363141 h 583406"/>
            <a:gd name="connsiteX7" fmla="*/ 827484 w 1279922"/>
            <a:gd name="connsiteY7" fmla="*/ 583406 h 58340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279922" h="583406">
              <a:moveTo>
                <a:pt x="458391" y="577453"/>
              </a:moveTo>
              <a:lnTo>
                <a:pt x="464344" y="345281"/>
              </a:lnTo>
              <a:lnTo>
                <a:pt x="5953" y="339328"/>
              </a:lnTo>
              <a:lnTo>
                <a:pt x="0" y="0"/>
              </a:lnTo>
              <a:lnTo>
                <a:pt x="1279922" y="5953"/>
              </a:lnTo>
              <a:lnTo>
                <a:pt x="1268016" y="363141"/>
              </a:lnTo>
              <a:lnTo>
                <a:pt x="821531" y="363141"/>
              </a:lnTo>
              <a:lnTo>
                <a:pt x="827484" y="583406"/>
              </a:lnTo>
            </a:path>
          </a:pathLst>
        </a:custGeom>
        <a:noFill/>
        <a:ln>
          <a:solidFill>
            <a:srgbClr val="FF3300"/>
          </a:solidFill>
          <a:prstDash val="sysDot"/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35718</xdr:colOff>
      <xdr:row>107</xdr:row>
      <xdr:rowOff>17860</xdr:rowOff>
    </xdr:from>
    <xdr:to>
      <xdr:col>12</xdr:col>
      <xdr:colOff>214312</xdr:colOff>
      <xdr:row>109</xdr:row>
      <xdr:rowOff>184547</xdr:rowOff>
    </xdr:to>
    <xdr:sp macro="" textlink="">
      <xdr:nvSpPr>
        <xdr:cNvPr id="18" name="자유형 21">
          <a:extLst>
            <a:ext uri="{FF2B5EF4-FFF2-40B4-BE49-F238E27FC236}">
              <a16:creationId xmlns:a16="http://schemas.microsoft.com/office/drawing/2014/main" id="{8981A758-80AD-4E3B-99BB-914F47FB5618}"/>
            </a:ext>
          </a:extLst>
        </xdr:cNvPr>
        <xdr:cNvSpPr/>
      </xdr:nvSpPr>
      <xdr:spPr>
        <a:xfrm>
          <a:off x="1834038" y="23662720"/>
          <a:ext cx="1550194" cy="608647"/>
        </a:xfrm>
        <a:custGeom>
          <a:avLst/>
          <a:gdLst>
            <a:gd name="connsiteX0" fmla="*/ 1053703 w 1535906"/>
            <a:gd name="connsiteY0" fmla="*/ 583406 h 583406"/>
            <a:gd name="connsiteX1" fmla="*/ 458391 w 1535906"/>
            <a:gd name="connsiteY1" fmla="*/ 583406 h 583406"/>
            <a:gd name="connsiteX2" fmla="*/ 458391 w 1535906"/>
            <a:gd name="connsiteY2" fmla="*/ 357187 h 583406"/>
            <a:gd name="connsiteX3" fmla="*/ 11906 w 1535906"/>
            <a:gd name="connsiteY3" fmla="*/ 369093 h 583406"/>
            <a:gd name="connsiteX4" fmla="*/ 0 w 1535906"/>
            <a:gd name="connsiteY4" fmla="*/ 0 h 583406"/>
            <a:gd name="connsiteX5" fmla="*/ 1518047 w 1535906"/>
            <a:gd name="connsiteY5" fmla="*/ 11906 h 583406"/>
            <a:gd name="connsiteX6" fmla="*/ 1535906 w 1535906"/>
            <a:gd name="connsiteY6" fmla="*/ 375046 h 583406"/>
            <a:gd name="connsiteX7" fmla="*/ 1047750 w 1535906"/>
            <a:gd name="connsiteY7" fmla="*/ 381000 h 583406"/>
            <a:gd name="connsiteX8" fmla="*/ 732235 w 1535906"/>
            <a:gd name="connsiteY8" fmla="*/ 381000 h 58340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1535906" h="583406">
              <a:moveTo>
                <a:pt x="1053703" y="583406"/>
              </a:moveTo>
              <a:lnTo>
                <a:pt x="458391" y="583406"/>
              </a:lnTo>
              <a:lnTo>
                <a:pt x="458391" y="357187"/>
              </a:lnTo>
              <a:lnTo>
                <a:pt x="11906" y="369093"/>
              </a:lnTo>
              <a:lnTo>
                <a:pt x="0" y="0"/>
              </a:lnTo>
              <a:lnTo>
                <a:pt x="1518047" y="11906"/>
              </a:lnTo>
              <a:lnTo>
                <a:pt x="1535906" y="375046"/>
              </a:lnTo>
              <a:lnTo>
                <a:pt x="1047750" y="381000"/>
              </a:lnTo>
              <a:lnTo>
                <a:pt x="732235" y="381000"/>
              </a:lnTo>
            </a:path>
          </a:pathLst>
        </a:custGeom>
        <a:noFill/>
        <a:ln>
          <a:solidFill>
            <a:srgbClr val="FF3300"/>
          </a:solidFill>
          <a:prstDash val="sysDot"/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35718</xdr:colOff>
      <xdr:row>112</xdr:row>
      <xdr:rowOff>17859</xdr:rowOff>
    </xdr:from>
    <xdr:to>
      <xdr:col>11</xdr:col>
      <xdr:colOff>214313</xdr:colOff>
      <xdr:row>114</xdr:row>
      <xdr:rowOff>196453</xdr:rowOff>
    </xdr:to>
    <xdr:sp macro="" textlink="">
      <xdr:nvSpPr>
        <xdr:cNvPr id="19" name="자유형 22">
          <a:extLst>
            <a:ext uri="{FF2B5EF4-FFF2-40B4-BE49-F238E27FC236}">
              <a16:creationId xmlns:a16="http://schemas.microsoft.com/office/drawing/2014/main" id="{2EBF96AD-A07D-47B2-B4ED-93010CD63C8A}"/>
            </a:ext>
          </a:extLst>
        </xdr:cNvPr>
        <xdr:cNvSpPr/>
      </xdr:nvSpPr>
      <xdr:spPr>
        <a:xfrm>
          <a:off x="1834038" y="24767619"/>
          <a:ext cx="1321595" cy="620554"/>
        </a:xfrm>
        <a:custGeom>
          <a:avLst/>
          <a:gdLst>
            <a:gd name="connsiteX0" fmla="*/ 797719 w 1309688"/>
            <a:gd name="connsiteY0" fmla="*/ 369094 h 595313"/>
            <a:gd name="connsiteX1" fmla="*/ 392906 w 1309688"/>
            <a:gd name="connsiteY1" fmla="*/ 351235 h 595313"/>
            <a:gd name="connsiteX2" fmla="*/ 392906 w 1309688"/>
            <a:gd name="connsiteY2" fmla="*/ 595313 h 595313"/>
            <a:gd name="connsiteX3" fmla="*/ 0 w 1309688"/>
            <a:gd name="connsiteY3" fmla="*/ 571500 h 595313"/>
            <a:gd name="connsiteX4" fmla="*/ 5953 w 1309688"/>
            <a:gd name="connsiteY4" fmla="*/ 0 h 595313"/>
            <a:gd name="connsiteX5" fmla="*/ 1309688 w 1309688"/>
            <a:gd name="connsiteY5" fmla="*/ 17860 h 595313"/>
            <a:gd name="connsiteX6" fmla="*/ 1297781 w 1309688"/>
            <a:gd name="connsiteY6" fmla="*/ 357188 h 595313"/>
            <a:gd name="connsiteX7" fmla="*/ 1035844 w 1309688"/>
            <a:gd name="connsiteY7" fmla="*/ 357188 h 595313"/>
            <a:gd name="connsiteX8" fmla="*/ 1047750 w 1309688"/>
            <a:gd name="connsiteY8" fmla="*/ 583406 h 595313"/>
            <a:gd name="connsiteX9" fmla="*/ 517922 w 1309688"/>
            <a:gd name="connsiteY9" fmla="*/ 583406 h 5953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1309688" h="595313">
              <a:moveTo>
                <a:pt x="797719" y="369094"/>
              </a:moveTo>
              <a:lnTo>
                <a:pt x="392906" y="351235"/>
              </a:lnTo>
              <a:lnTo>
                <a:pt x="392906" y="595313"/>
              </a:lnTo>
              <a:lnTo>
                <a:pt x="0" y="571500"/>
              </a:lnTo>
              <a:cubicBezTo>
                <a:pt x="1984" y="381000"/>
                <a:pt x="3969" y="190500"/>
                <a:pt x="5953" y="0"/>
              </a:cubicBezTo>
              <a:lnTo>
                <a:pt x="1309688" y="17860"/>
              </a:lnTo>
              <a:lnTo>
                <a:pt x="1297781" y="357188"/>
              </a:lnTo>
              <a:lnTo>
                <a:pt x="1035844" y="357188"/>
              </a:lnTo>
              <a:lnTo>
                <a:pt x="1047750" y="583406"/>
              </a:lnTo>
              <a:lnTo>
                <a:pt x="517922" y="583406"/>
              </a:lnTo>
            </a:path>
          </a:pathLst>
        </a:custGeom>
        <a:noFill/>
        <a:ln>
          <a:solidFill>
            <a:srgbClr val="FF3300"/>
          </a:solidFill>
          <a:prstDash val="sysDot"/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23813</xdr:colOff>
      <xdr:row>117</xdr:row>
      <xdr:rowOff>23812</xdr:rowOff>
    </xdr:from>
    <xdr:to>
      <xdr:col>12</xdr:col>
      <xdr:colOff>196453</xdr:colOff>
      <xdr:row>119</xdr:row>
      <xdr:rowOff>166688</xdr:rowOff>
    </xdr:to>
    <xdr:sp macro="" textlink="">
      <xdr:nvSpPr>
        <xdr:cNvPr id="20" name="자유형 23">
          <a:extLst>
            <a:ext uri="{FF2B5EF4-FFF2-40B4-BE49-F238E27FC236}">
              <a16:creationId xmlns:a16="http://schemas.microsoft.com/office/drawing/2014/main" id="{088CBB39-CD32-494E-87B5-F762EC6EACCA}"/>
            </a:ext>
          </a:extLst>
        </xdr:cNvPr>
        <xdr:cNvSpPr/>
      </xdr:nvSpPr>
      <xdr:spPr>
        <a:xfrm>
          <a:off x="2050733" y="25878472"/>
          <a:ext cx="1315640" cy="584836"/>
        </a:xfrm>
        <a:custGeom>
          <a:avLst/>
          <a:gdLst>
            <a:gd name="connsiteX0" fmla="*/ 476250 w 1303734"/>
            <a:gd name="connsiteY0" fmla="*/ 559594 h 559594"/>
            <a:gd name="connsiteX1" fmla="*/ 476250 w 1303734"/>
            <a:gd name="connsiteY1" fmla="*/ 357187 h 559594"/>
            <a:gd name="connsiteX2" fmla="*/ 0 w 1303734"/>
            <a:gd name="connsiteY2" fmla="*/ 351234 h 559594"/>
            <a:gd name="connsiteX3" fmla="*/ 11906 w 1303734"/>
            <a:gd name="connsiteY3" fmla="*/ 0 h 559594"/>
            <a:gd name="connsiteX4" fmla="*/ 1303734 w 1303734"/>
            <a:gd name="connsiteY4" fmla="*/ 11906 h 559594"/>
            <a:gd name="connsiteX5" fmla="*/ 1303734 w 1303734"/>
            <a:gd name="connsiteY5" fmla="*/ 369094 h 559594"/>
            <a:gd name="connsiteX6" fmla="*/ 845343 w 1303734"/>
            <a:gd name="connsiteY6" fmla="*/ 369094 h 559594"/>
            <a:gd name="connsiteX7" fmla="*/ 851297 w 1303734"/>
            <a:gd name="connsiteY7" fmla="*/ 559594 h 55959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303734" h="559594">
              <a:moveTo>
                <a:pt x="476250" y="559594"/>
              </a:moveTo>
              <a:lnTo>
                <a:pt x="476250" y="357187"/>
              </a:lnTo>
              <a:lnTo>
                <a:pt x="0" y="351234"/>
              </a:lnTo>
              <a:lnTo>
                <a:pt x="11906" y="0"/>
              </a:lnTo>
              <a:lnTo>
                <a:pt x="1303734" y="11906"/>
              </a:lnTo>
              <a:lnTo>
                <a:pt x="1303734" y="369094"/>
              </a:lnTo>
              <a:lnTo>
                <a:pt x="845343" y="369094"/>
              </a:lnTo>
              <a:lnTo>
                <a:pt x="851297" y="559594"/>
              </a:lnTo>
            </a:path>
          </a:pathLst>
        </a:custGeom>
        <a:noFill/>
        <a:ln>
          <a:solidFill>
            <a:srgbClr val="FF3300"/>
          </a:solidFill>
          <a:prstDash val="sysDot"/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35718</xdr:colOff>
      <xdr:row>122</xdr:row>
      <xdr:rowOff>29766</xdr:rowOff>
    </xdr:from>
    <xdr:to>
      <xdr:col>12</xdr:col>
      <xdr:colOff>190500</xdr:colOff>
      <xdr:row>124</xdr:row>
      <xdr:rowOff>196453</xdr:rowOff>
    </xdr:to>
    <xdr:sp macro="" textlink="">
      <xdr:nvSpPr>
        <xdr:cNvPr id="21" name="자유형 24">
          <a:extLst>
            <a:ext uri="{FF2B5EF4-FFF2-40B4-BE49-F238E27FC236}">
              <a16:creationId xmlns:a16="http://schemas.microsoft.com/office/drawing/2014/main" id="{8EB1A53E-6F84-45AE-995C-6F2E1C4C736C}"/>
            </a:ext>
          </a:extLst>
        </xdr:cNvPr>
        <xdr:cNvSpPr/>
      </xdr:nvSpPr>
      <xdr:spPr>
        <a:xfrm>
          <a:off x="1834038" y="26989326"/>
          <a:ext cx="1526382" cy="608647"/>
        </a:xfrm>
        <a:custGeom>
          <a:avLst/>
          <a:gdLst>
            <a:gd name="connsiteX0" fmla="*/ 571500 w 1512094"/>
            <a:gd name="connsiteY0" fmla="*/ 214312 h 583406"/>
            <a:gd name="connsiteX1" fmla="*/ 845344 w 1512094"/>
            <a:gd name="connsiteY1" fmla="*/ 214312 h 583406"/>
            <a:gd name="connsiteX2" fmla="*/ 833438 w 1512094"/>
            <a:gd name="connsiteY2" fmla="*/ 583406 h 583406"/>
            <a:gd name="connsiteX3" fmla="*/ 250031 w 1512094"/>
            <a:gd name="connsiteY3" fmla="*/ 583406 h 583406"/>
            <a:gd name="connsiteX4" fmla="*/ 250031 w 1512094"/>
            <a:gd name="connsiteY4" fmla="*/ 357187 h 583406"/>
            <a:gd name="connsiteX5" fmla="*/ 0 w 1512094"/>
            <a:gd name="connsiteY5" fmla="*/ 357187 h 583406"/>
            <a:gd name="connsiteX6" fmla="*/ 5953 w 1512094"/>
            <a:gd name="connsiteY6" fmla="*/ 11906 h 583406"/>
            <a:gd name="connsiteX7" fmla="*/ 1512094 w 1512094"/>
            <a:gd name="connsiteY7" fmla="*/ 0 h 583406"/>
            <a:gd name="connsiteX8" fmla="*/ 1512094 w 1512094"/>
            <a:gd name="connsiteY8" fmla="*/ 369093 h 583406"/>
            <a:gd name="connsiteX9" fmla="*/ 1041797 w 1512094"/>
            <a:gd name="connsiteY9" fmla="*/ 363140 h 583406"/>
            <a:gd name="connsiteX10" fmla="*/ 1047750 w 1512094"/>
            <a:gd name="connsiteY10" fmla="*/ 577453 h 58340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</a:cxnLst>
          <a:rect l="l" t="t" r="r" b="b"/>
          <a:pathLst>
            <a:path w="1512094" h="583406">
              <a:moveTo>
                <a:pt x="571500" y="214312"/>
              </a:moveTo>
              <a:lnTo>
                <a:pt x="845344" y="214312"/>
              </a:lnTo>
              <a:lnTo>
                <a:pt x="833438" y="583406"/>
              </a:lnTo>
              <a:lnTo>
                <a:pt x="250031" y="583406"/>
              </a:lnTo>
              <a:lnTo>
                <a:pt x="250031" y="357187"/>
              </a:lnTo>
              <a:lnTo>
                <a:pt x="0" y="357187"/>
              </a:lnTo>
              <a:lnTo>
                <a:pt x="5953" y="11906"/>
              </a:lnTo>
              <a:lnTo>
                <a:pt x="1512094" y="0"/>
              </a:lnTo>
              <a:lnTo>
                <a:pt x="1512094" y="369093"/>
              </a:lnTo>
              <a:lnTo>
                <a:pt x="1041797" y="363140"/>
              </a:lnTo>
              <a:lnTo>
                <a:pt x="1047750" y="577453"/>
              </a:lnTo>
            </a:path>
          </a:pathLst>
        </a:custGeom>
        <a:noFill/>
        <a:ln>
          <a:solidFill>
            <a:srgbClr val="FF3300"/>
          </a:solidFill>
          <a:prstDash val="sysDot"/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170793</xdr:colOff>
      <xdr:row>25</xdr:row>
      <xdr:rowOff>137948</xdr:rowOff>
    </xdr:from>
    <xdr:to>
      <xdr:col>44</xdr:col>
      <xdr:colOff>26276</xdr:colOff>
      <xdr:row>27</xdr:row>
      <xdr:rowOff>13138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10591708-BDB5-46A1-86C8-5770601A082B}"/>
            </a:ext>
          </a:extLst>
        </xdr:cNvPr>
        <xdr:cNvSpPr txBox="1"/>
      </xdr:nvSpPr>
      <xdr:spPr>
        <a:xfrm>
          <a:off x="3797913" y="5662448"/>
          <a:ext cx="6820163" cy="317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{{2, 1, 1},{3, 1, 1},{8, 0, 0},{9, 0, 0},{11, 0, 1}}</a:t>
          </a:r>
          <a:endParaRPr lang="ko-KR" altLang="en-US" sz="1100"/>
        </a:p>
      </xdr:txBody>
    </xdr:sp>
    <xdr:clientData/>
  </xdr:twoCellAnchor>
  <xdr:twoCellAnchor>
    <xdr:from>
      <xdr:col>14</xdr:col>
      <xdr:colOff>170793</xdr:colOff>
      <xdr:row>30</xdr:row>
      <xdr:rowOff>98534</xdr:rowOff>
    </xdr:from>
    <xdr:to>
      <xdr:col>44</xdr:col>
      <xdr:colOff>26276</xdr:colOff>
      <xdr:row>31</xdr:row>
      <xdr:rowOff>183931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AFA20AE6-5AB9-44FE-B409-FA037123FA57}"/>
            </a:ext>
          </a:extLst>
        </xdr:cNvPr>
        <xdr:cNvSpPr txBox="1"/>
      </xdr:nvSpPr>
      <xdr:spPr>
        <a:xfrm>
          <a:off x="3797913" y="6727934"/>
          <a:ext cx="6820163" cy="3063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{{4, 1, 0},{5, 1, 0},{12, 1, 1},{13, 1, 1},{22, 0, 0},{23, 0, 0},{24, 0, 1}}</a:t>
          </a:r>
          <a:endParaRPr lang="ko-KR" altLang="en-US" sz="1100"/>
        </a:p>
      </xdr:txBody>
    </xdr:sp>
    <xdr:clientData/>
  </xdr:twoCellAnchor>
  <xdr:twoCellAnchor>
    <xdr:from>
      <xdr:col>14</xdr:col>
      <xdr:colOff>170793</xdr:colOff>
      <xdr:row>35</xdr:row>
      <xdr:rowOff>144517</xdr:rowOff>
    </xdr:from>
    <xdr:to>
      <xdr:col>44</xdr:col>
      <xdr:colOff>26276</xdr:colOff>
      <xdr:row>37</xdr:row>
      <xdr:rowOff>19707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A01C2662-16C4-4758-A5F7-234D924AEDCD}"/>
            </a:ext>
          </a:extLst>
        </xdr:cNvPr>
        <xdr:cNvSpPr txBox="1"/>
      </xdr:nvSpPr>
      <xdr:spPr>
        <a:xfrm>
          <a:off x="3797913" y="7878817"/>
          <a:ext cx="6820163" cy="317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{{4, 1, 1},{5, 1, 0},{6, 1, 1},{7, 1, 1},{12, 0, 0},{13, 0, 0}}</a:t>
          </a:r>
          <a:endParaRPr lang="ko-KR" altLang="en-US" sz="1100"/>
        </a:p>
      </xdr:txBody>
    </xdr:sp>
    <xdr:clientData/>
  </xdr:twoCellAnchor>
  <xdr:twoCellAnchor>
    <xdr:from>
      <xdr:col>14</xdr:col>
      <xdr:colOff>170793</xdr:colOff>
      <xdr:row>41</xdr:row>
      <xdr:rowOff>13138</xdr:rowOff>
    </xdr:from>
    <xdr:to>
      <xdr:col>44</xdr:col>
      <xdr:colOff>26276</xdr:colOff>
      <xdr:row>42</xdr:row>
      <xdr:rowOff>98535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17E82CEB-E482-4618-A938-813A90B504F6}"/>
            </a:ext>
          </a:extLst>
        </xdr:cNvPr>
        <xdr:cNvSpPr txBox="1"/>
      </xdr:nvSpPr>
      <xdr:spPr>
        <a:xfrm>
          <a:off x="3797913" y="9073318"/>
          <a:ext cx="6820163" cy="3063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{{3, 1, 1},{4, 1, 0},{5, 1, 1},{6, 1, 1},{11, 0, 0},{12, 0, 0}}</a:t>
          </a:r>
          <a:endParaRPr lang="ko-KR" altLang="en-US" sz="1100"/>
        </a:p>
      </xdr:txBody>
    </xdr:sp>
    <xdr:clientData/>
  </xdr:twoCellAnchor>
  <xdr:twoCellAnchor>
    <xdr:from>
      <xdr:col>14</xdr:col>
      <xdr:colOff>170793</xdr:colOff>
      <xdr:row>46</xdr:row>
      <xdr:rowOff>59120</xdr:rowOff>
    </xdr:from>
    <xdr:to>
      <xdr:col>44</xdr:col>
      <xdr:colOff>26276</xdr:colOff>
      <xdr:row>47</xdr:row>
      <xdr:rowOff>144517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B7944AC-C3F2-45E2-8584-DDF98F1A080E}"/>
            </a:ext>
          </a:extLst>
        </xdr:cNvPr>
        <xdr:cNvSpPr txBox="1"/>
      </xdr:nvSpPr>
      <xdr:spPr>
        <a:xfrm>
          <a:off x="3797913" y="10224200"/>
          <a:ext cx="6820163" cy="3063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{{3, 1, 1},{4, 1, 1},{8, 0, 0},{10, 0, 0}}</a:t>
          </a:r>
          <a:endParaRPr lang="ko-KR" altLang="en-US" sz="1100"/>
        </a:p>
      </xdr:txBody>
    </xdr:sp>
    <xdr:clientData/>
  </xdr:twoCellAnchor>
  <xdr:twoCellAnchor>
    <xdr:from>
      <xdr:col>14</xdr:col>
      <xdr:colOff>170793</xdr:colOff>
      <xdr:row>51</xdr:row>
      <xdr:rowOff>39413</xdr:rowOff>
    </xdr:from>
    <xdr:to>
      <xdr:col>44</xdr:col>
      <xdr:colOff>26276</xdr:colOff>
      <xdr:row>52</xdr:row>
      <xdr:rowOff>124810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D611993-4D8D-4E15-86BD-C92301085938}"/>
            </a:ext>
          </a:extLst>
        </xdr:cNvPr>
        <xdr:cNvSpPr txBox="1"/>
      </xdr:nvSpPr>
      <xdr:spPr>
        <a:xfrm>
          <a:off x="3797913" y="11309393"/>
          <a:ext cx="6820163" cy="3063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{{1, 1, 0},{2, 1, 0},{3, 1, 1},{4, 1, 1},{5, 1, 0},{6, 1, 0},{7, 1, 1},{8, 1, 1},{10, 1, 1},{16, 0, 0},{17, 0, 0},{18, 0, 1}}</a:t>
          </a:r>
          <a:endParaRPr lang="ko-KR" altLang="en-US" sz="1100"/>
        </a:p>
      </xdr:txBody>
    </xdr:sp>
    <xdr:clientData/>
  </xdr:twoCellAnchor>
  <xdr:twoCellAnchor>
    <xdr:from>
      <xdr:col>14</xdr:col>
      <xdr:colOff>170793</xdr:colOff>
      <xdr:row>56</xdr:row>
      <xdr:rowOff>124810</xdr:rowOff>
    </xdr:from>
    <xdr:to>
      <xdr:col>44</xdr:col>
      <xdr:colOff>26276</xdr:colOff>
      <xdr:row>58</xdr:row>
      <xdr:rowOff>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1C96F296-B1FB-445B-86BC-62783D85531B}"/>
            </a:ext>
          </a:extLst>
        </xdr:cNvPr>
        <xdr:cNvSpPr txBox="1"/>
      </xdr:nvSpPr>
      <xdr:spPr>
        <a:xfrm>
          <a:off x="3797913" y="12499690"/>
          <a:ext cx="6820163" cy="317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{{4, 1, 1},{5, 1, 0},{7, 1, 1},{8, 1, 1},{14, 0, 0},{15, 0, 0}}</a:t>
          </a:r>
          <a:endParaRPr lang="ko-KR" altLang="en-US" sz="1100"/>
        </a:p>
      </xdr:txBody>
    </xdr:sp>
    <xdr:clientData/>
  </xdr:twoCellAnchor>
  <xdr:twoCellAnchor>
    <xdr:from>
      <xdr:col>14</xdr:col>
      <xdr:colOff>170793</xdr:colOff>
      <xdr:row>61</xdr:row>
      <xdr:rowOff>137948</xdr:rowOff>
    </xdr:from>
    <xdr:to>
      <xdr:col>44</xdr:col>
      <xdr:colOff>26276</xdr:colOff>
      <xdr:row>63</xdr:row>
      <xdr:rowOff>13138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F313E53F-4D9B-479B-9C6F-7A25171FEEBB}"/>
            </a:ext>
          </a:extLst>
        </xdr:cNvPr>
        <xdr:cNvSpPr txBox="1"/>
      </xdr:nvSpPr>
      <xdr:spPr>
        <a:xfrm>
          <a:off x="3797913" y="13617728"/>
          <a:ext cx="6820163" cy="317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{{2, 1, 1},{3, 1, 1},{6, 0, 0},{8, 0, 0}}</a:t>
          </a:r>
          <a:endParaRPr lang="ko-KR" altLang="en-US" sz="1100"/>
        </a:p>
      </xdr:txBody>
    </xdr:sp>
    <xdr:clientData/>
  </xdr:twoCellAnchor>
  <xdr:twoCellAnchor>
    <xdr:from>
      <xdr:col>14</xdr:col>
      <xdr:colOff>170793</xdr:colOff>
      <xdr:row>66</xdr:row>
      <xdr:rowOff>151086</xdr:rowOff>
    </xdr:from>
    <xdr:to>
      <xdr:col>44</xdr:col>
      <xdr:colOff>26276</xdr:colOff>
      <xdr:row>68</xdr:row>
      <xdr:rowOff>26276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15B0A61-9C74-4B93-B785-869F729343F0}"/>
            </a:ext>
          </a:extLst>
        </xdr:cNvPr>
        <xdr:cNvSpPr txBox="1"/>
      </xdr:nvSpPr>
      <xdr:spPr>
        <a:xfrm>
          <a:off x="3797913" y="14735766"/>
          <a:ext cx="6820163" cy="317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{{1, 1, 1},{2, 1, 1},{3, 1, 0},{4, 1, 0},{5, 1, 1},{6, 1, 1},{7, 1, 0},{8, 1,1},{9, 1, 1},{15, 0, 0},{16, 0, 0},{17, 0, 1},{18, 0, 1}}</a:t>
          </a:r>
          <a:endParaRPr lang="ko-KR" altLang="en-US" sz="1100"/>
        </a:p>
      </xdr:txBody>
    </xdr:sp>
    <xdr:clientData/>
  </xdr:twoCellAnchor>
  <xdr:twoCellAnchor>
    <xdr:from>
      <xdr:col>14</xdr:col>
      <xdr:colOff>170793</xdr:colOff>
      <xdr:row>71</xdr:row>
      <xdr:rowOff>26275</xdr:rowOff>
    </xdr:from>
    <xdr:to>
      <xdr:col>44</xdr:col>
      <xdr:colOff>26276</xdr:colOff>
      <xdr:row>72</xdr:row>
      <xdr:rowOff>111673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DD19283E-7334-4547-ADDA-81697B40E75B}"/>
            </a:ext>
          </a:extLst>
        </xdr:cNvPr>
        <xdr:cNvSpPr txBox="1"/>
      </xdr:nvSpPr>
      <xdr:spPr>
        <a:xfrm>
          <a:off x="3797913" y="15715855"/>
          <a:ext cx="6820163" cy="3063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{{3, 1, 1},{4, 1, 0},{5, 1, 0},{6, 1, 1},{7, 1, 1},{8, 1,0},{9, 1,1},{10, 1,1},{17, 0, 0},{18, 0, 0}}</a:t>
          </a:r>
          <a:endParaRPr lang="ko-KR" altLang="en-US" sz="1100"/>
        </a:p>
      </xdr:txBody>
    </xdr:sp>
    <xdr:clientData/>
  </xdr:twoCellAnchor>
  <xdr:twoCellAnchor>
    <xdr:from>
      <xdr:col>14</xdr:col>
      <xdr:colOff>170793</xdr:colOff>
      <xdr:row>76</xdr:row>
      <xdr:rowOff>6568</xdr:rowOff>
    </xdr:from>
    <xdr:to>
      <xdr:col>44</xdr:col>
      <xdr:colOff>26276</xdr:colOff>
      <xdr:row>77</xdr:row>
      <xdr:rowOff>91965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83DED0A-D082-4136-B027-B64635178CE7}"/>
            </a:ext>
          </a:extLst>
        </xdr:cNvPr>
        <xdr:cNvSpPr txBox="1"/>
      </xdr:nvSpPr>
      <xdr:spPr>
        <a:xfrm>
          <a:off x="3797913" y="16801048"/>
          <a:ext cx="6820163" cy="3063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{{1, 1, 1},{2, 1, 1},{4, 1, 1},{5, 1, 0},{6, 1, 0},{7, 1, 1},{8, 1, 1},{10, 1, 1},{17, 0, 0},{18, 0, 0},{20, 0, 1}}</a:t>
          </a:r>
          <a:endParaRPr lang="ko-KR" altLang="en-US" sz="1100"/>
        </a:p>
      </xdr:txBody>
    </xdr:sp>
    <xdr:clientData/>
  </xdr:twoCellAnchor>
  <xdr:twoCellAnchor>
    <xdr:from>
      <xdr:col>14</xdr:col>
      <xdr:colOff>170793</xdr:colOff>
      <xdr:row>82</xdr:row>
      <xdr:rowOff>52551</xdr:rowOff>
    </xdr:from>
    <xdr:to>
      <xdr:col>50</xdr:col>
      <xdr:colOff>153865</xdr:colOff>
      <xdr:row>83</xdr:row>
      <xdr:rowOff>137948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BE5AA77C-63B5-4F13-BEEB-FCA82575F7DD}"/>
            </a:ext>
          </a:extLst>
        </xdr:cNvPr>
        <xdr:cNvSpPr txBox="1"/>
      </xdr:nvSpPr>
      <xdr:spPr>
        <a:xfrm>
          <a:off x="3797913" y="18172911"/>
          <a:ext cx="8319352" cy="3063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{{2, 1, 0},{3, 1, 0},{4, 1, 1},{5, 1, 1},{6, 1, 0},{7, 1, 0},{8, 1, 1},{9, 1, 1},{10, 1, 0},{11, 1, 1},{12, 1, 1},{19, 0, 0},{20, 0, 0},{21, 0, 1},{22, 0, 1}}</a:t>
          </a:r>
          <a:endParaRPr lang="ko-KR" altLang="en-US" sz="1100"/>
        </a:p>
      </xdr:txBody>
    </xdr:sp>
    <xdr:clientData/>
  </xdr:twoCellAnchor>
  <xdr:twoCellAnchor>
    <xdr:from>
      <xdr:col>14</xdr:col>
      <xdr:colOff>170793</xdr:colOff>
      <xdr:row>88</xdr:row>
      <xdr:rowOff>78827</xdr:rowOff>
    </xdr:from>
    <xdr:to>
      <xdr:col>44</xdr:col>
      <xdr:colOff>26276</xdr:colOff>
      <xdr:row>89</xdr:row>
      <xdr:rowOff>164224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C56B4C7-105E-49DF-A7CA-03F62282F7C3}"/>
            </a:ext>
          </a:extLst>
        </xdr:cNvPr>
        <xdr:cNvSpPr txBox="1"/>
      </xdr:nvSpPr>
      <xdr:spPr>
        <a:xfrm>
          <a:off x="3797913" y="19525067"/>
          <a:ext cx="6820163" cy="3063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{{3, 1, 0},{4, 1, 0},{8, 1, 1},{9, 1, 1},{15, 0, 0},{16, 0, 0},{17, 0, 1},{18, 0, 1}}</a:t>
          </a:r>
          <a:endParaRPr lang="ko-KR" altLang="en-US" sz="1100"/>
        </a:p>
      </xdr:txBody>
    </xdr:sp>
    <xdr:clientData/>
  </xdr:twoCellAnchor>
  <xdr:twoCellAnchor>
    <xdr:from>
      <xdr:col>14</xdr:col>
      <xdr:colOff>170793</xdr:colOff>
      <xdr:row>93</xdr:row>
      <xdr:rowOff>19706</xdr:rowOff>
    </xdr:from>
    <xdr:to>
      <xdr:col>44</xdr:col>
      <xdr:colOff>26276</xdr:colOff>
      <xdr:row>94</xdr:row>
      <xdr:rowOff>105103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51CFB6AF-E0DA-4E88-A917-20D95607B5E1}"/>
            </a:ext>
          </a:extLst>
        </xdr:cNvPr>
        <xdr:cNvSpPr txBox="1"/>
      </xdr:nvSpPr>
      <xdr:spPr>
        <a:xfrm>
          <a:off x="3797913" y="20570846"/>
          <a:ext cx="6820163" cy="3063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{{1, 1, 1},{2, 1, 1},{7, 0, 0},{8, 0, 0}}</a:t>
          </a:r>
          <a:endParaRPr lang="ko-KR" altLang="en-US" sz="1100"/>
        </a:p>
      </xdr:txBody>
    </xdr:sp>
    <xdr:clientData/>
  </xdr:twoCellAnchor>
  <xdr:twoCellAnchor>
    <xdr:from>
      <xdr:col>14</xdr:col>
      <xdr:colOff>170793</xdr:colOff>
      <xdr:row>96</xdr:row>
      <xdr:rowOff>210206</xdr:rowOff>
    </xdr:from>
    <xdr:to>
      <xdr:col>44</xdr:col>
      <xdr:colOff>26276</xdr:colOff>
      <xdr:row>98</xdr:row>
      <xdr:rowOff>85397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1995F892-4DF0-4039-A2BE-57A2C8E0E020}"/>
            </a:ext>
          </a:extLst>
        </xdr:cNvPr>
        <xdr:cNvSpPr txBox="1"/>
      </xdr:nvSpPr>
      <xdr:spPr>
        <a:xfrm>
          <a:off x="3797913" y="21424286"/>
          <a:ext cx="6820163" cy="317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{{1, 1, 1},{2, 1, 1},{3, 1, 0},{4, 1, 0},{5, 1, 1},{6, 1, 1},{7, 1, 0},{8, 1, 1},{9, 1, 1},{14, 0, 0}}</a:t>
          </a:r>
          <a:endParaRPr lang="ko-KR" altLang="en-US" sz="1100"/>
        </a:p>
      </xdr:txBody>
    </xdr:sp>
    <xdr:clientData/>
  </xdr:twoCellAnchor>
  <xdr:twoCellAnchor>
    <xdr:from>
      <xdr:col>14</xdr:col>
      <xdr:colOff>170793</xdr:colOff>
      <xdr:row>102</xdr:row>
      <xdr:rowOff>19706</xdr:rowOff>
    </xdr:from>
    <xdr:to>
      <xdr:col>44</xdr:col>
      <xdr:colOff>26276</xdr:colOff>
      <xdr:row>103</xdr:row>
      <xdr:rowOff>105103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BF20F15-AC23-471E-A156-DF76023C8146}"/>
            </a:ext>
          </a:extLst>
        </xdr:cNvPr>
        <xdr:cNvSpPr txBox="1"/>
      </xdr:nvSpPr>
      <xdr:spPr>
        <a:xfrm>
          <a:off x="3797913" y="22559666"/>
          <a:ext cx="6820163" cy="3063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{{1, 1, 0},{3, 1, 1},{4, 1, 1},{9, 0, 0},{10, 0, 0},{12, 0, 1}}</a:t>
          </a:r>
          <a:endParaRPr lang="ko-KR" altLang="en-US" sz="1100"/>
        </a:p>
      </xdr:txBody>
    </xdr:sp>
    <xdr:clientData/>
  </xdr:twoCellAnchor>
  <xdr:twoCellAnchor>
    <xdr:from>
      <xdr:col>14</xdr:col>
      <xdr:colOff>170793</xdr:colOff>
      <xdr:row>106</xdr:row>
      <xdr:rowOff>210206</xdr:rowOff>
    </xdr:from>
    <xdr:to>
      <xdr:col>44</xdr:col>
      <xdr:colOff>26276</xdr:colOff>
      <xdr:row>108</xdr:row>
      <xdr:rowOff>85396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52DA71B9-7606-4887-A0A5-02E4A7699314}"/>
            </a:ext>
          </a:extLst>
        </xdr:cNvPr>
        <xdr:cNvSpPr txBox="1"/>
      </xdr:nvSpPr>
      <xdr:spPr>
        <a:xfrm>
          <a:off x="3797913" y="23634086"/>
          <a:ext cx="6820163" cy="317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{{2, 1, 1},{3, 1, 0},{5, 1, 1},{6, 1, 1},{12, 0, 0},{13, 0, 0}}</a:t>
          </a:r>
          <a:endParaRPr lang="ko-KR" altLang="en-US" sz="1100"/>
        </a:p>
      </xdr:txBody>
    </xdr:sp>
    <xdr:clientData/>
  </xdr:twoCellAnchor>
  <xdr:twoCellAnchor>
    <xdr:from>
      <xdr:col>14</xdr:col>
      <xdr:colOff>170793</xdr:colOff>
      <xdr:row>112</xdr:row>
      <xdr:rowOff>131379</xdr:rowOff>
    </xdr:from>
    <xdr:to>
      <xdr:col>44</xdr:col>
      <xdr:colOff>26276</xdr:colOff>
      <xdr:row>114</xdr:row>
      <xdr:rowOff>6569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214552A8-9E40-4966-803A-1C9530F0377B}"/>
            </a:ext>
          </a:extLst>
        </xdr:cNvPr>
        <xdr:cNvSpPr txBox="1"/>
      </xdr:nvSpPr>
      <xdr:spPr>
        <a:xfrm>
          <a:off x="3797913" y="24881139"/>
          <a:ext cx="6820163" cy="317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{{2, 1, 0},{3, 1, 1},{4, 1, 1},{6, 1, 1},{11, 0, 0},{12, 0, 0},{13, 0, 1},{14, 0, 0}}</a:t>
          </a:r>
          <a:endParaRPr lang="ko-KR" altLang="en-US" sz="1100"/>
        </a:p>
      </xdr:txBody>
    </xdr:sp>
    <xdr:clientData/>
  </xdr:twoCellAnchor>
  <xdr:twoCellAnchor>
    <xdr:from>
      <xdr:col>14</xdr:col>
      <xdr:colOff>170793</xdr:colOff>
      <xdr:row>117</xdr:row>
      <xdr:rowOff>13137</xdr:rowOff>
    </xdr:from>
    <xdr:to>
      <xdr:col>44</xdr:col>
      <xdr:colOff>26276</xdr:colOff>
      <xdr:row>118</xdr:row>
      <xdr:rowOff>98535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82CB671B-CD6C-4B64-A27A-DE6920D2BD49}"/>
            </a:ext>
          </a:extLst>
        </xdr:cNvPr>
        <xdr:cNvSpPr txBox="1"/>
      </xdr:nvSpPr>
      <xdr:spPr>
        <a:xfrm>
          <a:off x="3797913" y="25867797"/>
          <a:ext cx="6820163" cy="3063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{{1, 1, 0},{3, 1, 1},{4, 1, 1},{9, 0, 0},{10, 0, 0},{12, 0, 1}}</a:t>
          </a:r>
          <a:endParaRPr lang="ko-KR" altLang="en-US" sz="1100"/>
        </a:p>
      </xdr:txBody>
    </xdr:sp>
    <xdr:clientData/>
  </xdr:twoCellAnchor>
  <xdr:twoCellAnchor>
    <xdr:from>
      <xdr:col>14</xdr:col>
      <xdr:colOff>170793</xdr:colOff>
      <xdr:row>122</xdr:row>
      <xdr:rowOff>6568</xdr:rowOff>
    </xdr:from>
    <xdr:to>
      <xdr:col>44</xdr:col>
      <xdr:colOff>26276</xdr:colOff>
      <xdr:row>123</xdr:row>
      <xdr:rowOff>91965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120BB165-7199-4169-AEC4-745EB50DEBCC}"/>
            </a:ext>
          </a:extLst>
        </xdr:cNvPr>
        <xdr:cNvSpPr txBox="1"/>
      </xdr:nvSpPr>
      <xdr:spPr>
        <a:xfrm>
          <a:off x="3797913" y="26966128"/>
          <a:ext cx="6820163" cy="3063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{{1, 1, 1},{2, 1, 1},{4, 1, 1},{5, 1, 0},{6, 1, 1},{7, 1, 1},{13, 0, 0},{14, 0, 0},{16, 0, 1}}</a:t>
          </a:r>
          <a:endParaRPr lang="ko-KR" altLang="en-US" sz="1100"/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60735</xdr:colOff>
      <xdr:row>1</xdr:row>
      <xdr:rowOff>57144</xdr:rowOff>
    </xdr:from>
    <xdr:to>
      <xdr:col>18</xdr:col>
      <xdr:colOff>66675</xdr:colOff>
      <xdr:row>144</xdr:row>
      <xdr:rowOff>88655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0AB4F59-2A05-4F32-91E0-E565D222CF8B}"/>
            </a:ext>
          </a:extLst>
        </xdr:cNvPr>
        <xdr:cNvSpPr txBox="1"/>
      </xdr:nvSpPr>
      <xdr:spPr>
        <a:xfrm>
          <a:off x="336960" y="276219"/>
          <a:ext cx="11340690" cy="313592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[</a:t>
          </a:r>
          <a:r>
            <a:rPr lang="ko-KR" alt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문제 구조</a:t>
          </a:r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]</a:t>
          </a:r>
          <a:endParaRPr lang="ko-KR" alt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1. TC 10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개인 문제이다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매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TC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마다 새로운 데이터를 생성한다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2. interactive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문제이다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 =&gt;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아바타가 필요하다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3.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가능한 점수가 낮아야 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[</a:t>
          </a:r>
          <a:r>
            <a:rPr lang="ko-KR" alt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문제 개요</a:t>
          </a:r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]</a:t>
          </a:r>
          <a:endParaRPr lang="ko-KR" alt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# 1000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개의 위치가 원형으로 구성된 기차길이 주어진다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이중 최대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100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중복체크로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100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 미만이 될 가능성이 있다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를 랜덤하게 선택하여 역으로 선정한다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역당 최대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30~100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개의 화물이 생성된다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#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화물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아이디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:0~9999,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무게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:1~100,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목적지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:0~999)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# 1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개의 기차가 주어진다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화물개수제한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100,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무게제한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100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으로 화물을 적재할 수 있다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# move()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에서 비용계산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: (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화물무게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+ 50) * (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이동거리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+ 10)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의 합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#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기차의 초기위치는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으로 주어진다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해야 할 일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]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#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메인에 정의된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대의 기차를 이용하여 메인의 모든 화물을 메인의 목적지에 배송하는데 가능한 점수를 최소화 하시오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#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유효성 검사</a:t>
          </a: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기차에는 남은 화물이 없어야 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모든 화물은 목적지에 도착하여야 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유저의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API]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# void process(Cargo mCargos[LM][LM], int mCargoNum[])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 : mCargos[LM][LM]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위치가 역이라면 화물정보가 담겨있다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mCargoNum[]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에는 화물개수를 저장한다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메인의 기차와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move(), load(), unload()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를 이용하여 모든 화물을 목적지로 배송한다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메인의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API]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# bool move(int mDistance);</a:t>
          </a: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시계 또는 반시계방향으로 기차를 이동시킨다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점수를 계산한다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# bool load(int mCargoID);</a:t>
          </a: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기차의 현재 위치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역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에서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mCargoID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화물을 적재한다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# bool unload(int mCargoID);</a:t>
          </a: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기차의 현재 위치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역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에서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mCargoID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화물을 하역한다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문제 분석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]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#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역은 최대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100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 생성하나 중복체크에서 중복이 발생하면 제외하므로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100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 미만이 될 수 있다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#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화물무게는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1~100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으로 생성되는데</a:t>
          </a: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50%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확률로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1~50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을 생성하고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50%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확률로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1~100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을 생성하므로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1~50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화물이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51~100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화물보다 평균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3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배 많다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#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화물이 도착하는 목적지는 역이지만 역번호가 아닌 위치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역 포함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로 정한다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#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비용계산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: (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화물무게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+ 50) * (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이동거리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+ 10)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의 합</a:t>
          </a: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: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기차의 무게와 이동 거리에 비례하여 증가한다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빈 기차 이동의 경우에도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50 * (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거리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+ 10)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의 비용이 소모되므로 빈 기차 이동을 줄여야 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방향이 같다면 가능한 많은 화물을 함께 이동하는 것이 유리하다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따라서 무거운 화물부터 적재하는 것이 유리하다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  !!!!!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3.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상하역 비용이 없다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그러나 정차비용은 있다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아래 그림 참조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!!!!!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US" altLang="ko-KR" sz="1100" baseline="0"/>
        </a:p>
        <a:p>
          <a:endParaRPr lang="en-US" altLang="ko-KR" sz="1100" baseline="0"/>
        </a:p>
        <a:p>
          <a:endParaRPr lang="en-US" altLang="ko-KR" sz="1100" baseline="0"/>
        </a:p>
        <a:p>
          <a:endParaRPr lang="en-US" altLang="ko-KR" sz="1100" baseline="0"/>
        </a:p>
        <a:p>
          <a:endParaRPr lang="en-US" altLang="ko-KR" sz="1100" baseline="0"/>
        </a:p>
        <a:p>
          <a:endParaRPr lang="en-US" altLang="ko-KR" sz="1100" baseline="0"/>
        </a:p>
        <a:p>
          <a:endParaRPr lang="en-US" altLang="ko-KR" sz="1100" baseline="0"/>
        </a:p>
        <a:p>
          <a:endParaRPr lang="en-US" altLang="ko-KR" sz="1100" baseline="0"/>
        </a:p>
        <a:p>
          <a:endParaRPr lang="en-US" altLang="ko-KR" sz="1100" baseline="0"/>
        </a:p>
        <a:p>
          <a:endParaRPr lang="en-US" altLang="ko-KR" sz="1100" baseline="0"/>
        </a:p>
        <a:p>
          <a:endParaRPr lang="en-US" altLang="ko-KR" sz="1100" baseline="0"/>
        </a:p>
        <a:p>
          <a:endParaRPr lang="en-US" altLang="ko-KR" sz="1100" baseline="0"/>
        </a:p>
        <a:p>
          <a:endParaRPr lang="en-US" altLang="ko-KR" sz="1100" baseline="0"/>
        </a:p>
        <a:p>
          <a:endParaRPr lang="en-US" altLang="ko-KR" sz="1100" baseline="0"/>
        </a:p>
        <a:p>
          <a:endParaRPr lang="en-US" altLang="ko-KR" sz="1100" baseline="0"/>
        </a:p>
        <a:p>
          <a:endParaRPr lang="en-US" altLang="ko-KR" sz="1100" baseline="0"/>
        </a:p>
        <a:p>
          <a:endParaRPr lang="en-US" altLang="ko-KR" sz="1100" baseline="0"/>
        </a:p>
        <a:p>
          <a:endParaRPr lang="en-US" altLang="ko-KR" sz="1100" baseline="0"/>
        </a:p>
        <a:p>
          <a:endParaRPr lang="en-US" altLang="ko-KR" sz="1100" baseline="0"/>
        </a:p>
        <a:p>
          <a:endParaRPr lang="en-US" altLang="ko-KR" sz="1100" baseline="0"/>
        </a:p>
        <a:p>
          <a:endParaRPr lang="en-US" altLang="ko-KR" sz="1100" baseline="0"/>
        </a:p>
        <a:p>
          <a:endParaRPr lang="en-US" altLang="ko-KR" sz="1100" baseline="0"/>
        </a:p>
        <a:p>
          <a:endParaRPr lang="en-US" altLang="ko-KR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/>
        </a:p>
        <a:p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[stketch code </a:t>
          </a:r>
          <a:r>
            <a:rPr lang="ko-KR" alt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아이디어</a:t>
          </a:r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]</a:t>
          </a:r>
          <a:endParaRPr lang="ko-KR" alt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방향이 같다면 가능한 많은 화물을 함께 이동하는 것이 유리하다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운송비용은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기차의 화물무게합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+ 50) * (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운행거리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+ 10)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으로 계산되므로</a:t>
          </a: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기차에 빈 공간이 최소가 되도록 운송해야 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또한 빈 기차의 이동이 최소가 되어야 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3.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전체 비용에 상하차 비용은 포함되지 않는다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운송 우선순위는 무게가 큰 것을 우선하여 적재하는 전략을 사용한다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이유는 확률적으로 무게운 무게를 우선하는 것이 더 유리하기 때문이다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물건을 포장하는 경우를 생각해본다면 더 이해가 쉬울 것이다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예를 들어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100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이라는 용량 제한이 있고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90, 80, 20, 10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이라는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4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개의 물건이 있다고 하자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(10, 20)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을 먼저 포장하는 경우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80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따로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90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따로 포장하므로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3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개를 포장해야 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하지만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(90, 10), (80, 20)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을 하는 경우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개의 포장이면 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사실은 이것 저것 해보고 더 놓은 점수를 선택한 것이다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 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열거된 이유는 결과론적이다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.)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[sketch code_ver01 </a:t>
          </a:r>
          <a:r>
            <a:rPr lang="ko-KR" alt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프로세스</a:t>
          </a:r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]</a:t>
          </a:r>
          <a:endParaRPr lang="ko-KR" alt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각 역별 화물을 정렬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무게순 또는 거리순 또는 점수순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해 놓는다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빈 기차는 화물이 있는 가장 가까운 역으로 이동한다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3.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현재 역에서 최대한 무게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100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에 가깝게 적재한다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4.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시계방향으로 진행하면서 화물이 있는 역을 만나면 모두 내린다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그리고 화물을 정렬하고 현재 역이 목적지인 화물은 제외하고 다시 적재한다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5. 2~4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을 모든 화물이 목적지에 도찰할 때까지 반복한다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SCORE: 3'415'767'490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FAIL</a:t>
          </a:r>
        </a:p>
        <a:p>
          <a:endParaRPr lang="en-US" altLang="ko-KR" sz="110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US" altLang="ko-KR" sz="110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[sketch code_ver02 </a:t>
          </a:r>
          <a:r>
            <a:rPr lang="ko-KR" alt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프로세스</a:t>
          </a:r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]</a:t>
          </a:r>
          <a:endParaRPr lang="ko-KR" alt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각 역별 화물에 대하여 두 가지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시계방향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반시계방향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로 분류하여 저장한다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각 화물에 대하여 목적지까지 거리를 시계방향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반시계방향으로 구하고</a:t>
          </a: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더 가까운 쪽으로 저장한 후 정렬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거리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무게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점수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빈 기차는 화물이 있는 가장 가까운 역으로 이동한다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3.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이동할 방향을 선택한 후</a:t>
          </a: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현재 역에서 최대한 무게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100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에 가깝게 적재한다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4.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선택한 방향으로 진행하면서 화물이 있는 역을 만나면 모두 내린다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그리고 화물을 정렬한다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5. 2~4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을 모든 화물이 목적지에 도찰할 때까지 반복한다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SCORE: 3'415'767'490 =&gt; 1'771'813'630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FAIL</a:t>
          </a:r>
          <a:endParaRPr lang="en-US" altLang="ko-KR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/>
            <a:t>[</a:t>
          </a:r>
          <a:r>
            <a:rPr lang="ko-KR" altLang="en-US" sz="1100" b="1" baseline="0"/>
            <a:t>해결 전략</a:t>
          </a:r>
          <a:r>
            <a:rPr lang="en-US" altLang="ko-KR" sz="1100" b="1" baseline="0"/>
            <a:t>]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aseline="0"/>
            <a:t>무게나 거리가 아닌 </a:t>
          </a:r>
          <a:r>
            <a:rPr lang="ko-KR" altLang="en-US" sz="1100" b="1" baseline="0"/>
            <a:t>비용이 큰 것을 우선하는 전략</a:t>
          </a:r>
          <a:r>
            <a:rPr lang="ko-KR" altLang="en-US" sz="1100" baseline="0"/>
            <a:t>을 사용한다</a:t>
          </a:r>
          <a:r>
            <a:rPr lang="en-US" altLang="ko-KR" sz="1100" baseline="0"/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각 역별 화물을 화물별 목적지까지 거리를 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각 시계방향과 반시계방향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으로 구하고 이들 중에서 더 가까운 쪽으로 구분하여 저장한다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이때 각 화물 별로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{id,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무게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목적지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거리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비용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}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을 저장한다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나누어 저장된 화물을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1st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비용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2nd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무게 우선으로 정렬한다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aseline="0"/>
            <a:t>열차운송은 다음 프로세스를 따른다</a:t>
          </a:r>
          <a:r>
            <a:rPr lang="en-US" altLang="ko-KR" sz="1100" baseline="0"/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/>
            <a:t>1. </a:t>
          </a:r>
          <a:r>
            <a:rPr lang="ko-KR" altLang="en-US" sz="1100" baseline="0"/>
            <a:t>열차가 비어 있는 경우 가장 가까운 물품이 있는 역으로 이동한다</a:t>
          </a:r>
          <a:r>
            <a:rPr lang="en-US" altLang="ko-KR" sz="1100" baseline="0"/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/>
            <a:t>2. </a:t>
          </a:r>
          <a:r>
            <a:rPr lang="ko-KR" altLang="en-US" sz="1100" baseline="0"/>
            <a:t>선택된 역에서 시계방향과 반시계방향 중에서 가장 비용이 큰 화물이 있는 방향을 선택한다</a:t>
          </a:r>
          <a:r>
            <a:rPr lang="en-US" altLang="ko-KR" sz="1100" baseline="0"/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/>
            <a:t>3. </a:t>
          </a:r>
          <a:r>
            <a:rPr lang="ko-KR" altLang="en-US" sz="1100" baseline="0"/>
            <a:t>중량</a:t>
          </a:r>
          <a:r>
            <a:rPr lang="en-US" altLang="ko-KR" sz="1100" baseline="0"/>
            <a:t>100</a:t>
          </a:r>
          <a:r>
            <a:rPr lang="ko-KR" altLang="en-US" sz="1100" baseline="0"/>
            <a:t>을 넘지 않도록 최대한 많이 열차에 짐을 적재한다</a:t>
          </a:r>
          <a:r>
            <a:rPr lang="en-US" altLang="ko-KR" sz="1100" baseline="0"/>
            <a:t>.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4.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적재된 화물 중에 가장 가까운 거리의 역으로 이동하여 모든 화물을 하차 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(1)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정차비용은 있으므로 필요한 경우에만 정차하는 전략이다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(2)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상하차 비용은 없으므로 모두 하차한 후 더 좋은 조합으로 상차를 하는 것이 유리하다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5.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모든 화물 운송이 종료되기까지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1~4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를 반복한다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</a:p>
        <a:p>
          <a:endParaRPr lang="en-US" altLang="ko-KR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aseline="0"/>
            <a:t>이경우 </a:t>
          </a:r>
          <a:r>
            <a:rPr lang="en-US" altLang="ko-KR" sz="1100" baseline="0"/>
            <a:t>SEED = 5</a:t>
          </a:r>
          <a:r>
            <a:rPr lang="ko-KR" altLang="en-US" sz="1100" baseline="0"/>
            <a:t>에서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967'720'750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점을 얻을 수 있다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[</a:t>
          </a:r>
          <a:r>
            <a:rPr lang="ko-KR" alt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고찰</a:t>
          </a:r>
          <a:r>
            <a:rPr lang="en-US" altLang="ko-K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]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무거운 화물부터 이동시키므로 시간이 지나면 가벼운 화물들이 남는다</a:t>
          </a:r>
          <a:r>
            <a:rPr lang="en-US" altLang="ko-K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aseline="0"/>
            <a:t>지금 프로그램은 한번 짐을 적재하면 여유공간이 있다고 하더라도 최단도착지까지는 그냥 이동한다</a:t>
          </a:r>
          <a:r>
            <a:rPr lang="en-US" altLang="ko-KR" sz="1100" baseline="0"/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aseline="0"/>
            <a:t>그런데 여유공간이 있어서 이동하는 도중에 짐을 추가로 적재할 수 있다면 적재하는 전략은 어떨까</a:t>
          </a:r>
          <a:r>
            <a:rPr lang="en-US" altLang="ko-KR" sz="1100" baseline="0"/>
            <a:t>?</a:t>
          </a:r>
        </a:p>
      </xdr:txBody>
    </xdr:sp>
    <xdr:clientData/>
  </xdr:twoCellAnchor>
  <xdr:twoCellAnchor>
    <xdr:from>
      <xdr:col>3</xdr:col>
      <xdr:colOff>582883</xdr:colOff>
      <xdr:row>54</xdr:row>
      <xdr:rowOff>155660</xdr:rowOff>
    </xdr:from>
    <xdr:to>
      <xdr:col>4</xdr:col>
      <xdr:colOff>322954</xdr:colOff>
      <xdr:row>56</xdr:row>
      <xdr:rowOff>120830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1DFF6DCF-F367-4935-AC27-F12A6A321EEE}"/>
            </a:ext>
          </a:extLst>
        </xdr:cNvPr>
        <xdr:cNvSpPr/>
      </xdr:nvSpPr>
      <xdr:spPr>
        <a:xfrm>
          <a:off x="2198323" y="12088580"/>
          <a:ext cx="410631" cy="40713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1</a:t>
          </a:r>
          <a:endParaRPr lang="ko-KR" altLang="en-US" sz="1100"/>
        </a:p>
      </xdr:txBody>
    </xdr:sp>
    <xdr:clientData/>
  </xdr:twoCellAnchor>
  <xdr:twoCellAnchor>
    <xdr:from>
      <xdr:col>7</xdr:col>
      <xdr:colOff>239300</xdr:colOff>
      <xdr:row>54</xdr:row>
      <xdr:rowOff>155660</xdr:rowOff>
    </xdr:from>
    <xdr:to>
      <xdr:col>7</xdr:col>
      <xdr:colOff>647279</xdr:colOff>
      <xdr:row>56</xdr:row>
      <xdr:rowOff>120830</xdr:rowOff>
    </xdr:to>
    <xdr:sp macro="" textlink="">
      <xdr:nvSpPr>
        <xdr:cNvPr id="4" name="타원 3">
          <a:extLst>
            <a:ext uri="{FF2B5EF4-FFF2-40B4-BE49-F238E27FC236}">
              <a16:creationId xmlns:a16="http://schemas.microsoft.com/office/drawing/2014/main" id="{B0251374-1A7B-4D7E-85CE-C9AC9AB7FB90}"/>
            </a:ext>
          </a:extLst>
        </xdr:cNvPr>
        <xdr:cNvSpPr/>
      </xdr:nvSpPr>
      <xdr:spPr>
        <a:xfrm>
          <a:off x="4536980" y="12088580"/>
          <a:ext cx="407979" cy="40713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2</a:t>
          </a:r>
          <a:endParaRPr lang="ko-KR" altLang="en-US" sz="1100"/>
        </a:p>
      </xdr:txBody>
    </xdr:sp>
    <xdr:clientData/>
  </xdr:twoCellAnchor>
  <xdr:twoCellAnchor>
    <xdr:from>
      <xdr:col>10</xdr:col>
      <xdr:colOff>563623</xdr:colOff>
      <xdr:row>54</xdr:row>
      <xdr:rowOff>155660</xdr:rowOff>
    </xdr:from>
    <xdr:to>
      <xdr:col>11</xdr:col>
      <xdr:colOff>303695</xdr:colOff>
      <xdr:row>56</xdr:row>
      <xdr:rowOff>120830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4EDEEFB4-A1F0-4D94-9890-3E2E3D9D2EF4}"/>
            </a:ext>
          </a:extLst>
        </xdr:cNvPr>
        <xdr:cNvSpPr/>
      </xdr:nvSpPr>
      <xdr:spPr>
        <a:xfrm>
          <a:off x="6872983" y="12088580"/>
          <a:ext cx="410632" cy="40713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3</a:t>
          </a:r>
          <a:endParaRPr lang="ko-KR" altLang="en-US" sz="1100"/>
        </a:p>
      </xdr:txBody>
    </xdr:sp>
    <xdr:clientData/>
  </xdr:twoCellAnchor>
  <xdr:twoCellAnchor>
    <xdr:from>
      <xdr:col>4</xdr:col>
      <xdr:colOff>322954</xdr:colOff>
      <xdr:row>55</xdr:row>
      <xdr:rowOff>138246</xdr:rowOff>
    </xdr:from>
    <xdr:to>
      <xdr:col>7</xdr:col>
      <xdr:colOff>239300</xdr:colOff>
      <xdr:row>55</xdr:row>
      <xdr:rowOff>138246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0ABD4B17-6DFC-44AC-8684-7EFED3B9E888}"/>
            </a:ext>
          </a:extLst>
        </xdr:cNvPr>
        <xdr:cNvCxnSpPr>
          <a:stCxn id="3" idx="6"/>
          <a:endCxn id="4" idx="2"/>
        </xdr:cNvCxnSpPr>
      </xdr:nvCxnSpPr>
      <xdr:spPr>
        <a:xfrm>
          <a:off x="2608954" y="12292146"/>
          <a:ext cx="1928026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647279</xdr:colOff>
      <xdr:row>55</xdr:row>
      <xdr:rowOff>138246</xdr:rowOff>
    </xdr:from>
    <xdr:to>
      <xdr:col>10</xdr:col>
      <xdr:colOff>563623</xdr:colOff>
      <xdr:row>55</xdr:row>
      <xdr:rowOff>138246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193B247A-E0BF-449D-800D-1CB991A4D358}"/>
            </a:ext>
          </a:extLst>
        </xdr:cNvPr>
        <xdr:cNvCxnSpPr>
          <a:stCxn id="4" idx="6"/>
          <a:endCxn id="5" idx="2"/>
        </xdr:cNvCxnSpPr>
      </xdr:nvCxnSpPr>
      <xdr:spPr>
        <a:xfrm>
          <a:off x="4944959" y="12292146"/>
          <a:ext cx="1928024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370513</xdr:colOff>
      <xdr:row>54</xdr:row>
      <xdr:rowOff>77284</xdr:rowOff>
    </xdr:from>
    <xdr:to>
      <xdr:col>6</xdr:col>
      <xdr:colOff>479371</xdr:colOff>
      <xdr:row>55</xdr:row>
      <xdr:rowOff>90348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20293C8-3371-4C94-9B62-5D6DE8A47A49}"/>
            </a:ext>
          </a:extLst>
        </xdr:cNvPr>
        <xdr:cNvSpPr txBox="1"/>
      </xdr:nvSpPr>
      <xdr:spPr>
        <a:xfrm>
          <a:off x="3327073" y="12010204"/>
          <a:ext cx="779418" cy="2340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>
              <a:solidFill>
                <a:schemeClr val="accent4"/>
              </a:solidFill>
            </a:rPr>
            <a:t>거리</a:t>
          </a:r>
          <a:r>
            <a:rPr lang="en-US" altLang="ko-KR" sz="1100" b="1">
              <a:solidFill>
                <a:schemeClr val="accent4"/>
              </a:solidFill>
            </a:rPr>
            <a:t>=20</a:t>
          </a:r>
          <a:endParaRPr lang="ko-KR" altLang="en-US" sz="1100" b="1">
            <a:solidFill>
              <a:schemeClr val="accent4"/>
            </a:solidFill>
          </a:endParaRPr>
        </a:p>
      </xdr:txBody>
    </xdr:sp>
    <xdr:clientData/>
  </xdr:twoCellAnchor>
  <xdr:twoCellAnchor>
    <xdr:from>
      <xdr:col>1</xdr:col>
      <xdr:colOff>79695</xdr:colOff>
      <xdr:row>56</xdr:row>
      <xdr:rowOff>31353</xdr:rowOff>
    </xdr:from>
    <xdr:to>
      <xdr:col>3</xdr:col>
      <xdr:colOff>307772</xdr:colOff>
      <xdr:row>59</xdr:row>
      <xdr:rowOff>15614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42B5EB0-6304-4ACD-A03C-907DF8DAEA82}"/>
            </a:ext>
          </a:extLst>
        </xdr:cNvPr>
        <xdr:cNvSpPr txBox="1"/>
      </xdr:nvSpPr>
      <xdr:spPr>
        <a:xfrm>
          <a:off x="354015" y="12406233"/>
          <a:ext cx="1569197" cy="647201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/>
            <a:t>운송방법 </a:t>
          </a:r>
          <a:r>
            <a:rPr lang="en-US" altLang="ko-KR" sz="1100" b="1"/>
            <a:t>1</a:t>
          </a:r>
          <a:r>
            <a:rPr lang="ko-KR" altLang="en-US" sz="1100" b="1"/>
            <a:t>의 비용</a:t>
          </a:r>
          <a:endParaRPr lang="en-US" altLang="ko-KR" sz="1100" b="1"/>
        </a:p>
        <a:p>
          <a:pPr algn="ctr"/>
          <a:r>
            <a:rPr lang="ko-KR" altLang="en-US" sz="1100" b="1"/>
            <a:t>역마다 계산</a:t>
          </a:r>
        </a:p>
      </xdr:txBody>
    </xdr:sp>
    <xdr:clientData/>
  </xdr:twoCellAnchor>
  <xdr:twoCellAnchor>
    <xdr:from>
      <xdr:col>6</xdr:col>
      <xdr:colOff>18152</xdr:colOff>
      <xdr:row>57</xdr:row>
      <xdr:rowOff>2045</xdr:rowOff>
    </xdr:from>
    <xdr:to>
      <xdr:col>9</xdr:col>
      <xdr:colOff>166196</xdr:colOff>
      <xdr:row>58</xdr:row>
      <xdr:rowOff>51160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2A495E4-2E0A-42D1-A0DC-8DCB5BFB1327}"/>
            </a:ext>
          </a:extLst>
        </xdr:cNvPr>
        <xdr:cNvSpPr txBox="1"/>
      </xdr:nvSpPr>
      <xdr:spPr>
        <a:xfrm>
          <a:off x="3645272" y="12597905"/>
          <a:ext cx="2159724" cy="270095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 b="1"/>
            <a:t>(</a:t>
          </a:r>
          <a:r>
            <a:rPr lang="en-US" altLang="ko-KR" sz="1100" b="1">
              <a:solidFill>
                <a:srgbClr val="FF0000"/>
              </a:solidFill>
            </a:rPr>
            <a:t>100</a:t>
          </a:r>
          <a:r>
            <a:rPr lang="en-US" altLang="ko-KR" sz="1100" b="1"/>
            <a:t> + 50)*(</a:t>
          </a:r>
          <a:r>
            <a:rPr lang="en-US" altLang="ko-KR" sz="1100" b="1">
              <a:solidFill>
                <a:schemeClr val="accent4"/>
              </a:solidFill>
            </a:rPr>
            <a:t>20</a:t>
          </a:r>
          <a:r>
            <a:rPr lang="en-US" altLang="ko-KR" sz="1100" b="1"/>
            <a:t> + 10) = 4500</a:t>
          </a:r>
          <a:endParaRPr lang="ko-KR" altLang="en-US" sz="1100" b="1"/>
        </a:p>
      </xdr:txBody>
    </xdr:sp>
    <xdr:clientData/>
  </xdr:twoCellAnchor>
  <xdr:twoCellAnchor>
    <xdr:from>
      <xdr:col>3</xdr:col>
      <xdr:colOff>501311</xdr:colOff>
      <xdr:row>57</xdr:row>
      <xdr:rowOff>1099</xdr:rowOff>
    </xdr:from>
    <xdr:to>
      <xdr:col>4</xdr:col>
      <xdr:colOff>431641</xdr:colOff>
      <xdr:row>58</xdr:row>
      <xdr:rowOff>46806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45AA7F0-B9E4-47A0-B9A9-B1ADBD96BC30}"/>
            </a:ext>
          </a:extLst>
        </xdr:cNvPr>
        <xdr:cNvSpPr txBox="1"/>
      </xdr:nvSpPr>
      <xdr:spPr>
        <a:xfrm>
          <a:off x="2116751" y="12596959"/>
          <a:ext cx="600890" cy="266687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 b="1"/>
            <a:t>0</a:t>
          </a:r>
          <a:endParaRPr lang="ko-KR" altLang="en-US" sz="1100" b="1"/>
        </a:p>
      </xdr:txBody>
    </xdr:sp>
    <xdr:clientData/>
  </xdr:twoCellAnchor>
  <xdr:twoCellAnchor>
    <xdr:from>
      <xdr:col>3</xdr:col>
      <xdr:colOff>157323</xdr:colOff>
      <xdr:row>52</xdr:row>
      <xdr:rowOff>181788</xdr:rowOff>
    </xdr:from>
    <xdr:to>
      <xdr:col>5</xdr:col>
      <xdr:colOff>26693</xdr:colOff>
      <xdr:row>54</xdr:row>
      <xdr:rowOff>94701</xdr:rowOff>
    </xdr:to>
    <xdr:sp macro="" textlink="">
      <xdr:nvSpPr>
        <xdr:cNvPr id="12" name="순서도: 수동 연산 11">
          <a:extLst>
            <a:ext uri="{FF2B5EF4-FFF2-40B4-BE49-F238E27FC236}">
              <a16:creationId xmlns:a16="http://schemas.microsoft.com/office/drawing/2014/main" id="{8C45316B-9A36-4D98-A18B-E5A20E4B996C}"/>
            </a:ext>
          </a:extLst>
        </xdr:cNvPr>
        <xdr:cNvSpPr/>
      </xdr:nvSpPr>
      <xdr:spPr>
        <a:xfrm>
          <a:off x="1772763" y="11672748"/>
          <a:ext cx="1210490" cy="354873"/>
        </a:xfrm>
        <a:prstGeom prst="flowChartManualOperation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무게</a:t>
          </a:r>
          <a:r>
            <a:rPr lang="en-US" altLang="ko-KR" sz="1100"/>
            <a:t>:100</a:t>
          </a:r>
          <a:endParaRPr lang="ko-KR" altLang="en-US" sz="1100"/>
        </a:p>
      </xdr:txBody>
    </xdr:sp>
    <xdr:clientData/>
  </xdr:twoCellAnchor>
  <xdr:twoCellAnchor>
    <xdr:from>
      <xdr:col>9</xdr:col>
      <xdr:colOff>639824</xdr:colOff>
      <xdr:row>57</xdr:row>
      <xdr:rowOff>2045</xdr:rowOff>
    </xdr:from>
    <xdr:to>
      <xdr:col>13</xdr:col>
      <xdr:colOff>118633</xdr:colOff>
      <xdr:row>58</xdr:row>
      <xdr:rowOff>51160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BAC2764-38D8-4337-89B6-14FE4B368963}"/>
            </a:ext>
          </a:extLst>
        </xdr:cNvPr>
        <xdr:cNvSpPr txBox="1"/>
      </xdr:nvSpPr>
      <xdr:spPr>
        <a:xfrm>
          <a:off x="6278624" y="12597905"/>
          <a:ext cx="2161049" cy="270095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 b="1"/>
            <a:t>(</a:t>
          </a:r>
          <a:r>
            <a:rPr lang="en-US" altLang="ko-KR" sz="1100" b="1">
              <a:solidFill>
                <a:srgbClr val="FF0000"/>
              </a:solidFill>
            </a:rPr>
            <a:t>100</a:t>
          </a:r>
          <a:r>
            <a:rPr lang="en-US" altLang="ko-KR" sz="1100" b="1"/>
            <a:t> + 50)*(</a:t>
          </a:r>
          <a:r>
            <a:rPr lang="en-US" altLang="ko-KR" sz="1100" b="1">
              <a:solidFill>
                <a:schemeClr val="accent4"/>
              </a:solidFill>
            </a:rPr>
            <a:t>20</a:t>
          </a:r>
          <a:r>
            <a:rPr lang="en-US" altLang="ko-KR" sz="1100" b="1"/>
            <a:t> + 10) = 4500</a:t>
          </a:r>
          <a:endParaRPr lang="ko-KR" altLang="en-US" sz="1100" b="1"/>
        </a:p>
      </xdr:txBody>
    </xdr:sp>
    <xdr:clientData/>
  </xdr:twoCellAnchor>
  <xdr:twoCellAnchor>
    <xdr:from>
      <xdr:col>1</xdr:col>
      <xdr:colOff>79695</xdr:colOff>
      <xdr:row>59</xdr:row>
      <xdr:rowOff>130920</xdr:rowOff>
    </xdr:from>
    <xdr:to>
      <xdr:col>3</xdr:col>
      <xdr:colOff>307772</xdr:colOff>
      <xdr:row>62</xdr:row>
      <xdr:rowOff>204063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E2F8D13-C582-48BC-9809-EFE53526E7F7}"/>
            </a:ext>
          </a:extLst>
        </xdr:cNvPr>
        <xdr:cNvSpPr txBox="1"/>
      </xdr:nvSpPr>
      <xdr:spPr>
        <a:xfrm>
          <a:off x="354015" y="13168740"/>
          <a:ext cx="1569197" cy="736083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/>
            <a:t>운송방법 </a:t>
          </a:r>
          <a:r>
            <a:rPr lang="en-US" altLang="ko-KR" sz="1100" b="1"/>
            <a:t>1</a:t>
          </a:r>
          <a:r>
            <a:rPr lang="ko-KR" altLang="en-US" sz="1100" b="1"/>
            <a:t>의 비용</a:t>
          </a:r>
          <a:endParaRPr lang="en-US" altLang="ko-KR" sz="1100" b="1"/>
        </a:p>
        <a:p>
          <a:pPr algn="ctr"/>
          <a:r>
            <a:rPr lang="ko-KR" altLang="en-US" sz="1100" b="1"/>
            <a:t>목적지에서만 계산</a:t>
          </a:r>
        </a:p>
      </xdr:txBody>
    </xdr:sp>
    <xdr:clientData/>
  </xdr:twoCellAnchor>
  <xdr:twoCellAnchor>
    <xdr:from>
      <xdr:col>3</xdr:col>
      <xdr:colOff>501311</xdr:colOff>
      <xdr:row>60</xdr:row>
      <xdr:rowOff>141029</xdr:rowOff>
    </xdr:from>
    <xdr:to>
      <xdr:col>4</xdr:col>
      <xdr:colOff>431641</xdr:colOff>
      <xdr:row>61</xdr:row>
      <xdr:rowOff>193951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7EEC2F9-CDF6-4E88-823F-37F0CABC5FD8}"/>
            </a:ext>
          </a:extLst>
        </xdr:cNvPr>
        <xdr:cNvSpPr txBox="1"/>
      </xdr:nvSpPr>
      <xdr:spPr>
        <a:xfrm>
          <a:off x="2116751" y="13399829"/>
          <a:ext cx="600890" cy="273902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 b="1"/>
            <a:t>0</a:t>
          </a:r>
          <a:endParaRPr lang="ko-KR" altLang="en-US" sz="1100" b="1"/>
        </a:p>
      </xdr:txBody>
    </xdr:sp>
    <xdr:clientData/>
  </xdr:twoCellAnchor>
  <xdr:twoCellAnchor>
    <xdr:from>
      <xdr:col>9</xdr:col>
      <xdr:colOff>663270</xdr:colOff>
      <xdr:row>60</xdr:row>
      <xdr:rowOff>144031</xdr:rowOff>
    </xdr:from>
    <xdr:to>
      <xdr:col>13</xdr:col>
      <xdr:colOff>142079</xdr:colOff>
      <xdr:row>61</xdr:row>
      <xdr:rowOff>198305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9F26AF1-4E3B-4514-A057-82F17ADBA3BE}"/>
            </a:ext>
          </a:extLst>
        </xdr:cNvPr>
        <xdr:cNvSpPr txBox="1"/>
      </xdr:nvSpPr>
      <xdr:spPr>
        <a:xfrm>
          <a:off x="6302070" y="13402831"/>
          <a:ext cx="2161049" cy="275254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 b="1"/>
            <a:t>(</a:t>
          </a:r>
          <a:r>
            <a:rPr lang="en-US" altLang="ko-KR" sz="1100" b="1">
              <a:solidFill>
                <a:srgbClr val="FF0000"/>
              </a:solidFill>
            </a:rPr>
            <a:t>100</a:t>
          </a:r>
          <a:r>
            <a:rPr lang="en-US" altLang="ko-KR" sz="1100" b="1"/>
            <a:t> + 50)*(</a:t>
          </a:r>
          <a:r>
            <a:rPr lang="en-US" altLang="ko-KR" sz="1100" b="1">
              <a:solidFill>
                <a:schemeClr val="accent4"/>
              </a:solidFill>
            </a:rPr>
            <a:t>40</a:t>
          </a:r>
          <a:r>
            <a:rPr lang="en-US" altLang="ko-KR" sz="1100" b="1"/>
            <a:t> + 10) = 7500</a:t>
          </a:r>
          <a:endParaRPr lang="ko-KR" altLang="en-US" sz="1100" b="1"/>
        </a:p>
      </xdr:txBody>
    </xdr:sp>
    <xdr:clientData/>
  </xdr:twoCellAnchor>
  <xdr:twoCellAnchor>
    <xdr:from>
      <xdr:col>8</xdr:col>
      <xdr:colOff>576687</xdr:colOff>
      <xdr:row>54</xdr:row>
      <xdr:rowOff>77284</xdr:rowOff>
    </xdr:from>
    <xdr:to>
      <xdr:col>10</xdr:col>
      <xdr:colOff>16309</xdr:colOff>
      <xdr:row>55</xdr:row>
      <xdr:rowOff>90348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7B8E656-EF08-45A2-95C2-C0B0F8A6B1C4}"/>
            </a:ext>
          </a:extLst>
        </xdr:cNvPr>
        <xdr:cNvSpPr txBox="1"/>
      </xdr:nvSpPr>
      <xdr:spPr>
        <a:xfrm>
          <a:off x="5544927" y="12010204"/>
          <a:ext cx="780742" cy="2340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>
              <a:solidFill>
                <a:schemeClr val="accent4"/>
              </a:solidFill>
            </a:rPr>
            <a:t>거리</a:t>
          </a:r>
          <a:r>
            <a:rPr lang="en-US" altLang="ko-KR" sz="1100" b="1">
              <a:solidFill>
                <a:schemeClr val="accent4"/>
              </a:solidFill>
            </a:rPr>
            <a:t>=20</a:t>
          </a:r>
          <a:endParaRPr lang="ko-KR" altLang="en-US" sz="1100" b="1">
            <a:solidFill>
              <a:schemeClr val="accent4"/>
            </a:solidFill>
          </a:endParaRPr>
        </a:p>
      </xdr:txBody>
    </xdr:sp>
    <xdr:clientData/>
  </xdr:twoCellAnchor>
  <xdr:twoCellAnchor>
    <xdr:from>
      <xdr:col>9</xdr:col>
      <xdr:colOff>229168</xdr:colOff>
      <xdr:row>57</xdr:row>
      <xdr:rowOff>2045</xdr:rowOff>
    </xdr:from>
    <xdr:to>
      <xdr:col>9</xdr:col>
      <xdr:colOff>555571</xdr:colOff>
      <xdr:row>58</xdr:row>
      <xdr:rowOff>51160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F9C36BE9-D86B-4A60-8974-A101F88AAB89}"/>
            </a:ext>
          </a:extLst>
        </xdr:cNvPr>
        <xdr:cNvSpPr txBox="1"/>
      </xdr:nvSpPr>
      <xdr:spPr>
        <a:xfrm>
          <a:off x="5867968" y="12597905"/>
          <a:ext cx="326403" cy="270095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 b="1"/>
            <a:t>+</a:t>
          </a:r>
          <a:endParaRPr lang="ko-KR" altLang="en-US" sz="1100" b="1"/>
        </a:p>
      </xdr:txBody>
    </xdr:sp>
    <xdr:clientData/>
  </xdr:twoCellAnchor>
  <xdr:twoCellAnchor>
    <xdr:from>
      <xdr:col>13</xdr:col>
      <xdr:colOff>193998</xdr:colOff>
      <xdr:row>57</xdr:row>
      <xdr:rowOff>2045</xdr:rowOff>
    </xdr:from>
    <xdr:to>
      <xdr:col>13</xdr:col>
      <xdr:colOff>520401</xdr:colOff>
      <xdr:row>58</xdr:row>
      <xdr:rowOff>51160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F9D6548-64EB-4699-A08C-6DE51F34B275}"/>
            </a:ext>
          </a:extLst>
        </xdr:cNvPr>
        <xdr:cNvSpPr txBox="1"/>
      </xdr:nvSpPr>
      <xdr:spPr>
        <a:xfrm>
          <a:off x="8515038" y="12597905"/>
          <a:ext cx="326403" cy="270095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 b="1"/>
            <a:t>=</a:t>
          </a:r>
          <a:endParaRPr lang="ko-KR" altLang="en-US" sz="1100" b="1"/>
        </a:p>
      </xdr:txBody>
    </xdr:sp>
    <xdr:clientData/>
  </xdr:twoCellAnchor>
  <xdr:twoCellAnchor>
    <xdr:from>
      <xdr:col>13</xdr:col>
      <xdr:colOff>587741</xdr:colOff>
      <xdr:row>57</xdr:row>
      <xdr:rowOff>2045</xdr:rowOff>
    </xdr:from>
    <xdr:to>
      <xdr:col>16</xdr:col>
      <xdr:colOff>104234</xdr:colOff>
      <xdr:row>58</xdr:row>
      <xdr:rowOff>51160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06FE76C-AB95-4A75-A7FC-24984C0C5889}"/>
            </a:ext>
          </a:extLst>
        </xdr:cNvPr>
        <xdr:cNvSpPr txBox="1"/>
      </xdr:nvSpPr>
      <xdr:spPr>
        <a:xfrm>
          <a:off x="8908781" y="12597905"/>
          <a:ext cx="1528173" cy="270095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>
              <a:solidFill>
                <a:srgbClr val="C00000"/>
              </a:solidFill>
            </a:rPr>
            <a:t>총비용 </a:t>
          </a:r>
          <a:r>
            <a:rPr lang="en-US" altLang="ko-KR" sz="1100" b="1">
              <a:solidFill>
                <a:srgbClr val="C00000"/>
              </a:solidFill>
            </a:rPr>
            <a:t>: 9000</a:t>
          </a:r>
          <a:endParaRPr lang="ko-KR" altLang="en-US" sz="1100" b="1">
            <a:solidFill>
              <a:srgbClr val="C00000"/>
            </a:solidFill>
          </a:endParaRPr>
        </a:p>
      </xdr:txBody>
    </xdr:sp>
    <xdr:clientData/>
  </xdr:twoCellAnchor>
  <xdr:twoCellAnchor>
    <xdr:from>
      <xdr:col>13</xdr:col>
      <xdr:colOff>628101</xdr:colOff>
      <xdr:row>60</xdr:row>
      <xdr:rowOff>144031</xdr:rowOff>
    </xdr:from>
    <xdr:to>
      <xdr:col>16</xdr:col>
      <xdr:colOff>104234</xdr:colOff>
      <xdr:row>61</xdr:row>
      <xdr:rowOff>198305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69263C9-CFEA-46FA-80A2-10874C7FEFDC}"/>
            </a:ext>
          </a:extLst>
        </xdr:cNvPr>
        <xdr:cNvSpPr txBox="1"/>
      </xdr:nvSpPr>
      <xdr:spPr>
        <a:xfrm>
          <a:off x="8949141" y="13402831"/>
          <a:ext cx="1487813" cy="275254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 b="1"/>
            <a:t>총비용 </a:t>
          </a:r>
          <a:r>
            <a:rPr lang="en-US" altLang="ko-KR" sz="1100" b="1"/>
            <a:t>: 7500</a:t>
          </a:r>
          <a:endParaRPr lang="ko-KR" altLang="en-US" sz="1100" b="1"/>
        </a:p>
      </xdr:txBody>
    </xdr:sp>
    <xdr:clientData/>
  </xdr:twoCellAnchor>
  <xdr:twoCellAnchor>
    <xdr:from>
      <xdr:col>10</xdr:col>
      <xdr:colOff>180432</xdr:colOff>
      <xdr:row>51</xdr:row>
      <xdr:rowOff>192338</xdr:rowOff>
    </xdr:from>
    <xdr:to>
      <xdr:col>11</xdr:col>
      <xdr:colOff>603484</xdr:colOff>
      <xdr:row>54</xdr:row>
      <xdr:rowOff>98553</xdr:rowOff>
    </xdr:to>
    <xdr:sp macro="" textlink="">
      <xdr:nvSpPr>
        <xdr:cNvPr id="22" name="아래쪽 화살표 설명선 21">
          <a:extLst>
            <a:ext uri="{FF2B5EF4-FFF2-40B4-BE49-F238E27FC236}">
              <a16:creationId xmlns:a16="http://schemas.microsoft.com/office/drawing/2014/main" id="{151751EE-6D1B-4D87-9C84-6C5F1D45680D}"/>
            </a:ext>
          </a:extLst>
        </xdr:cNvPr>
        <xdr:cNvSpPr/>
      </xdr:nvSpPr>
      <xdr:spPr>
        <a:xfrm>
          <a:off x="6489792" y="11462318"/>
          <a:ext cx="1093612" cy="569155"/>
        </a:xfrm>
        <a:prstGeom prst="downArrow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목적지</a:t>
          </a:r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2</xdr:row>
      <xdr:rowOff>154303</xdr:rowOff>
    </xdr:from>
    <xdr:to>
      <xdr:col>17</xdr:col>
      <xdr:colOff>182880</xdr:colOff>
      <xdr:row>174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01D6EED-3DC9-44DD-A04B-056FFB4B8E81}"/>
            </a:ext>
          </a:extLst>
        </xdr:cNvPr>
        <xdr:cNvSpPr txBox="1"/>
      </xdr:nvSpPr>
      <xdr:spPr>
        <a:xfrm>
          <a:off x="358140" y="596263"/>
          <a:ext cx="10797540" cy="378542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[</a:t>
          </a:r>
          <a:r>
            <a:rPr lang="ko-KR" alt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문제 구조</a:t>
          </a:r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]</a:t>
          </a:r>
          <a:endParaRPr lang="ko-KR" alt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1. TC = 10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인 문제이다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 TC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별 데이터를 새롭게 생성한다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2. interactive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문제이다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3.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점수가 높을 수록 좋다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[</a:t>
          </a:r>
          <a:r>
            <a:rPr lang="ko-KR" alt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문제 개요</a:t>
          </a:r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]</a:t>
          </a:r>
          <a:endParaRPr lang="ko-KR" alt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1024*1024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크기의 맵에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1000~1999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개의 하르방이 랜덤하게 배치된다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하르방위치는 중복체크하여 고유하게 생성된다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이 하르방들의 위치정보를 받아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main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에 정의된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harubangs(), house()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함수를 이용하여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4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 단위로 집을 지어야 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* 집 짓는 규칙은 다음과 같다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하르방은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4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 단위로 그룹지어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main.cpp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에 정의된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house(Point para[])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함수를 통하여 집을 짓는다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 2) para[]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에 포함된 좌표를 이용하여 하르방을 찾아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0(EMPTY)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으로 표시한다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3) 4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개의 하르방을 포함하는 최소 크기 직사각형이 지어진 집의 면적이 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집이 지어지면 지도에 집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(2)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으로 표시된다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4)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하르방을 중복사용하면 집을 짓지 않는다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4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개의 하르방 중에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번째 하르방이 중복 사용되는 경우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번째 하르방은 검토조차 하지 않는다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5)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새로운 집 구간이 이전에 지어진 집과 겹치는 경우 초기 하르방 갯수가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-1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로 초기화 되고 집짓기를 멈춘다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=&gt;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점수를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0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점으로 처리한다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6)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집 구간에 포함된 요청되지 않은 다른 하르방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이 존재하는 경우 사용한 것으로 표시하고 이들을 포함하여 집을 짓는다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집이 지어진 영역은 집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(HOUSE = 2)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으로 표시된다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* 접수 계산</a:t>
          </a: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점수는 지어진 집들의 인덱스 제곱의 합으로 계산한다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지어진 집의 수가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N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이라고 하면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score = 0*0 + 1*1 + 2*2 + ... + (N-1)*(N-1)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이 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전체 집면적의 평균을 구하고 각 집별로 평균에 의한 표준편차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(abs(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집면적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-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전체면적평균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) )/ 10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만큼씩 점수가 차감된다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가능하면 높은 점수를 출력하는 프로그램을 작성하시오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[API </a:t>
          </a:r>
          <a:r>
            <a:rPr lang="ko-KR" alt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함수</a:t>
          </a:r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]</a:t>
          </a:r>
          <a:endParaRPr lang="ko-KR" alt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* void process();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 : main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에 정의된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harubangs(), house()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함수를 이용하여 가능한 높은 점수를 얻도록 하르방을 나누어야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집을 지어야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[main</a:t>
          </a:r>
          <a:r>
            <a:rPr lang="ko-KR" alt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에 정의된 </a:t>
          </a:r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API </a:t>
          </a:r>
          <a:r>
            <a:rPr lang="ko-KR" alt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함수</a:t>
          </a:r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]</a:t>
          </a:r>
          <a:endParaRPr lang="ko-KR" alt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* int harubangs(Point p[]);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 : p[]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에 하르방 좌표를 복사해준다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* void house(Point p[]);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 : p[]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에 저장된 좌표를 이용하여 집을 짓는다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[</a:t>
          </a:r>
          <a:r>
            <a:rPr lang="ko-KR" alt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문제 분석</a:t>
          </a:r>
          <a:r>
            <a:rPr lang="en-US" altLang="ko-KR" sz="1100" b="1">
              <a:solidFill>
                <a:schemeClr val="dk1"/>
              </a:solidFill>
              <a:latin typeface="+mn-lt"/>
              <a:ea typeface="+mn-ea"/>
              <a:cs typeface="+mn-cs"/>
            </a:rPr>
            <a:t>]</a:t>
          </a:r>
          <a:endParaRPr lang="ko-KR" alt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주체가 하르방뿐이다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할일은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1024*1024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맵에 고유하게 배치된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1000~1999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개의 하르방을 적절히 나누어 집을 짓는 것이다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집은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4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 이상의 하르방이 포함된 영역으로 지어진다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점수 계산식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지어진 집의 수가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N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이라고 할 때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score = 0*0 + 1*1 + 2*2 + ... + (N-1)*(N-1)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이다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=&gt;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가능한 많은 집을 지어야 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2)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전체 집면적의 평균을 구하고 각 집별로 평균에 의한 표준편차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(abs(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집면적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-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전체면적평균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) )/ 10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만큼씩 점수가 차감된다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=&gt;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만들어진 집의 크기가 가능하면 균등해야 차감점수가 줄어든다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하르방 수가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N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개라면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N/4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개가 최대 집 개수이다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어떻게 할 수 있을까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?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차감되는 점수는 얼마나될까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?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두 계산식중에 어디에 더 집중해야 할 까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?</a:t>
          </a:r>
          <a:endParaRPr lang="en-US" altLang="ko-K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ko-KR" alt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[Sketch</a:t>
          </a:r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Code 01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endParaRPr lang="en-US" altLang="ko-K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/>
            <a:t>데이터를 분석해 보면 하나의 열 또는 행에 평균</a:t>
          </a:r>
          <a:r>
            <a:rPr lang="en-US" altLang="ko-KR"/>
            <a:t>1~2</a:t>
          </a:r>
          <a:r>
            <a:rPr lang="ko-KR" altLang="en-US"/>
            <a:t>개의 하르방이 존재한다</a:t>
          </a:r>
          <a:r>
            <a:rPr lang="en-US" altLang="ko-KR"/>
            <a:t>.</a:t>
          </a:r>
        </a:p>
        <a:p>
          <a:r>
            <a:rPr lang="ko-KR" altLang="en-US"/>
            <a:t>실제로 조사해 보면 </a:t>
          </a:r>
          <a:r>
            <a:rPr lang="en-US" altLang="ko-KR"/>
            <a:t>TC=1</a:t>
          </a:r>
          <a:r>
            <a:rPr lang="ko-KR" altLang="en-US"/>
            <a:t>의 경우 최대 </a:t>
          </a:r>
          <a:r>
            <a:rPr lang="en-US" altLang="ko-KR"/>
            <a:t>8</a:t>
          </a:r>
          <a:r>
            <a:rPr lang="ko-KR" altLang="en-US"/>
            <a:t>개이다</a:t>
          </a:r>
          <a:r>
            <a:rPr lang="en-US" altLang="ko-KR"/>
            <a:t>. </a:t>
          </a:r>
        </a:p>
        <a:p>
          <a:endParaRPr lang="en-US" altLang="ko-KR"/>
        </a:p>
        <a:p>
          <a:r>
            <a:rPr lang="ko-KR" altLang="en-US"/>
            <a:t>따라서 다음과 같은 시도를 해볼 수 있다</a:t>
          </a:r>
          <a:r>
            <a:rPr lang="en-US" altLang="ko-KR"/>
            <a:t>. </a:t>
          </a:r>
        </a:p>
        <a:p>
          <a:r>
            <a:rPr lang="en-US" altLang="ko-KR"/>
            <a:t>    1. </a:t>
          </a:r>
          <a:r>
            <a:rPr lang="ko-KR" altLang="en-US"/>
            <a:t>열좌표 단위</a:t>
          </a:r>
          <a:r>
            <a:rPr lang="en-US" altLang="ko-KR"/>
            <a:t>(</a:t>
          </a:r>
          <a:r>
            <a:rPr lang="ko-KR" altLang="en-US"/>
            <a:t>같은 열좌표는 함께 처리</a:t>
          </a:r>
          <a:r>
            <a:rPr lang="en-US" altLang="ko-KR"/>
            <a:t>)</a:t>
          </a:r>
          <a:r>
            <a:rPr lang="ko-KR" altLang="en-US"/>
            <a:t>로 점들은 모은다</a:t>
          </a:r>
          <a:r>
            <a:rPr lang="en-US" altLang="ko-KR"/>
            <a:t>. </a:t>
          </a:r>
        </a:p>
        <a:p>
          <a:r>
            <a:rPr lang="en-US" altLang="ko-KR"/>
            <a:t>    2. </a:t>
          </a:r>
          <a:r>
            <a:rPr lang="ko-KR" altLang="en-US"/>
            <a:t>모은 수가 </a:t>
          </a:r>
          <a:r>
            <a:rPr lang="en-US" altLang="ko-KR"/>
            <a:t>4</a:t>
          </a:r>
          <a:r>
            <a:rPr lang="ko-KR" altLang="en-US"/>
            <a:t>의배수라면 다음을 시도한다</a:t>
          </a:r>
          <a:r>
            <a:rPr lang="en-US" altLang="ko-KR"/>
            <a:t>. </a:t>
          </a:r>
        </a:p>
        <a:p>
          <a:r>
            <a:rPr lang="en-US" altLang="ko-KR"/>
            <a:t>        1) </a:t>
          </a:r>
          <a:r>
            <a:rPr lang="ko-KR" altLang="en-US"/>
            <a:t>모은 좌표들을 행좌표의 오름차순으로 정렬한다</a:t>
          </a:r>
          <a:r>
            <a:rPr lang="en-US" altLang="ko-KR"/>
            <a:t>. </a:t>
          </a:r>
        </a:p>
        <a:p>
          <a:r>
            <a:rPr lang="en-US" altLang="ko-KR"/>
            <a:t>        2) </a:t>
          </a:r>
          <a:r>
            <a:rPr lang="ko-KR" altLang="en-US"/>
            <a:t>같은 행좌표는 함께 처리할 때 </a:t>
          </a:r>
          <a:r>
            <a:rPr lang="en-US" altLang="ko-KR"/>
            <a:t>4</a:t>
          </a:r>
          <a:r>
            <a:rPr lang="ko-KR" altLang="en-US"/>
            <a:t>개씩 나누어지는가</a:t>
          </a:r>
          <a:r>
            <a:rPr lang="en-US" altLang="ko-KR"/>
            <a:t>? </a:t>
          </a:r>
        </a:p>
        <a:p>
          <a:r>
            <a:rPr lang="en-US" altLang="ko-KR"/>
            <a:t>            (1) </a:t>
          </a:r>
          <a:r>
            <a:rPr lang="ko-KR" altLang="en-US"/>
            <a:t>나누어진 다면 </a:t>
          </a:r>
          <a:r>
            <a:rPr lang="en-US" altLang="ko-KR"/>
            <a:t>4</a:t>
          </a:r>
          <a:r>
            <a:rPr lang="ko-KR" altLang="en-US"/>
            <a:t>개씩 집짓는다</a:t>
          </a:r>
          <a:r>
            <a:rPr lang="en-US" altLang="ko-KR"/>
            <a:t>. </a:t>
          </a:r>
        </a:p>
        <a:p>
          <a:r>
            <a:rPr lang="en-US" altLang="ko-KR"/>
            <a:t>            (2) </a:t>
          </a:r>
          <a:r>
            <a:rPr lang="ko-KR" altLang="en-US"/>
            <a:t>그렇지 않다면 </a:t>
          </a:r>
          <a:r>
            <a:rPr lang="en-US" altLang="ko-KR"/>
            <a:t>1</a:t>
          </a:r>
          <a:r>
            <a:rPr lang="ko-KR" altLang="en-US"/>
            <a:t>로 돌아간다</a:t>
          </a:r>
          <a:r>
            <a:rPr lang="en-US" altLang="ko-KR"/>
            <a:t>. </a:t>
          </a:r>
        </a:p>
        <a:p>
          <a:r>
            <a:rPr lang="en-US" altLang="ko-KR"/>
            <a:t>    3. </a:t>
          </a:r>
          <a:r>
            <a:rPr lang="ko-KR" altLang="en-US"/>
            <a:t>이방법으로 </a:t>
          </a:r>
          <a:r>
            <a:rPr lang="en-US" altLang="ko-KR"/>
            <a:t>seed = 250517 </a:t>
          </a:r>
          <a:r>
            <a:rPr lang="ko-KR" altLang="en-US"/>
            <a:t>에서 </a:t>
          </a:r>
          <a:r>
            <a:rPr lang="en-US" altLang="ko-KR"/>
            <a:t>SCORE: 143036058 </a:t>
          </a:r>
          <a:r>
            <a:rPr lang="ko-KR" altLang="en-US"/>
            <a:t>를 얻는다</a:t>
          </a:r>
          <a:r>
            <a:rPr lang="en-US" altLang="ko-KR"/>
            <a:t>. </a:t>
          </a:r>
        </a:p>
        <a:p>
          <a:r>
            <a:rPr lang="en-US" altLang="ko-KR"/>
            <a:t>        </a:t>
          </a:r>
          <a:r>
            <a:rPr lang="ko-KR" altLang="en-US"/>
            <a:t>그런데 </a:t>
          </a:r>
          <a:r>
            <a:rPr lang="en-US" altLang="ko-KR"/>
            <a:t>seed = 7 </a:t>
          </a:r>
          <a:r>
            <a:rPr lang="ko-KR" altLang="en-US"/>
            <a:t>에서 </a:t>
          </a:r>
          <a:r>
            <a:rPr lang="en-US" altLang="ko-KR"/>
            <a:t>SCORE: 0 </a:t>
          </a:r>
          <a:r>
            <a:rPr lang="ko-KR" altLang="en-US"/>
            <a:t>이다</a:t>
          </a:r>
          <a:r>
            <a:rPr lang="en-US" altLang="ko-KR"/>
            <a:t>. </a:t>
          </a:r>
          <a:r>
            <a:rPr lang="ko-KR" altLang="en-US"/>
            <a:t>남은 하르방수가 </a:t>
          </a:r>
          <a:r>
            <a:rPr lang="en-US" altLang="ko-KR"/>
            <a:t>700</a:t>
          </a:r>
          <a:r>
            <a:rPr lang="ko-KR" altLang="en-US"/>
            <a:t>개가 되는 상황이 </a:t>
          </a:r>
          <a:r>
            <a:rPr lang="en-US" altLang="ko-KR"/>
            <a:t>!!! </a:t>
          </a:r>
          <a:r>
            <a:rPr lang="ko-KR" altLang="en-US"/>
            <a:t>ㅠㅠㅠ</a:t>
          </a:r>
          <a:endParaRPr lang="en-US" altLang="ko-K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[Sketch</a:t>
          </a:r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Code 02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endParaRPr lang="ko-KR" altLang="ko-KR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[sketch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code 01]</a:t>
          </a:r>
          <a:r>
            <a:rPr lang="ko-KR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에서 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seed = 7</a:t>
          </a:r>
          <a:r>
            <a:rPr lang="ko-KR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에서 문제가 되는 상황을 다음과 같이 개선해 볼 수 있다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seed = 7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에서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SCORE: 0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인 경우를 해결하기 위하여</a:t>
          </a: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남은 하르방을 모두 하나의 집으로 하는 코드를 추가할 수 있다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</a:p>
        <a:p>
          <a:endParaRPr lang="en-US" altLang="ko-K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[Sketch</a:t>
          </a:r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Code 03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b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[sketch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code 01]</a:t>
          </a:r>
          <a:r>
            <a:rPr lang="ko-KR" alt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에서 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seed = 7</a:t>
          </a:r>
          <a:r>
            <a:rPr lang="ko-KR" alt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에서 문제가 되는 상황을 다음과 같이 개선해 볼 수 있다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개로 나뉘어지지 않는 구간의 첫 부분을 막힌 구간이라고 하자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막힌 구간이 나올 때마다 구간의 크기가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이하이든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이상이든 처리해 버리고</a:t>
          </a:r>
          <a:endParaRPr lang="en-US" altLang="ko-K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남은 부분을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[sketch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code 01]</a:t>
          </a:r>
          <a:r>
            <a:rPr lang="ko-KR" alt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과 같이 처리하기를 반복한다</a:t>
          </a:r>
          <a:r>
            <a:rPr lang="en-US" altLang="ko-K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altLang="ko-K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해결 전략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1]</a:t>
          </a:r>
          <a:endParaRPr lang="ko-KR" altLang="ko-KR">
            <a:effectLst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* 아래작업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1, 2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작업을 할 수 있을때까지 반복한다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1. runXY(): sketchCode01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과 같이 처리한다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   1) points[]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를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x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좌표의 오름차순 정렬 후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   2) x(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열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좌표 단위로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4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의 배수 만큼 모이면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       (1) y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좌표의 오름차순 정렬 후</a:t>
          </a: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(2) 4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 단위 집짓기를 수행하기를 시도한다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2. runYX(): 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   1) points[]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를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y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좌표의 오름차순 정렬 후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   2) y(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행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)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좌표 단위로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4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의 배수 만큼 모이면</a:t>
          </a: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        (1) x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좌표의 오름차순 정렬 후</a:t>
          </a: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(2) 4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개 단위 집짓기를 수행하기를 시도한다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  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3.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대부분의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SEED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에서 위 두 함수로 해결된다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그렇지 못한 경우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sketchCode03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과 같이 막힌 구간을 해결하고</a:t>
          </a:r>
        </a:p>
        <a:p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1, 2 </a:t>
          </a:r>
          <a:r>
            <a:rPr lang="ko-KR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작업을 다시 진행한다</a:t>
          </a:r>
          <a:r>
            <a:rPr lang="en-US" altLang="ko-KR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US" altLang="ko-K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해결 전략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2]</a:t>
          </a:r>
          <a:endParaRPr lang="en-US" altLang="ko-K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함수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: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남은 자료를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축을 기준으로 오름차순 정렬한 후 차례로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hrr[]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에 담고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같은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값은 한꺼번에 담는다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.)</a:t>
          </a:r>
          <a:endParaRPr lang="ko-KR" alt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담은 수가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의 배수라면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값을 기준으로 오름차순 정렬하고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개씩 집지어보기를 가능할 때 까지 반복한다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함수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: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남은 자료를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축을 기준으로 오름차순 정렬한 후 차례로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hrr[]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에 담고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같은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값은 한꺼번에 담는다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.)</a:t>
          </a:r>
          <a:endParaRPr lang="ko-KR" alt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담은 수가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의 배수라면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값을 기준으로 오름차순 정렬하고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개씩 집지어보기를 가능할 때 까지 반복한다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함수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 :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남은 자료를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축을 기준으로 내림차순 정렬한 후 차례로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hrr[]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에 담고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같은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값은 한꺼번에 담는다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.)</a:t>
          </a:r>
          <a:endParaRPr lang="ko-KR" alt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담은 수가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의 배수라면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값을 기준으로 오름차순 정렬하고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개씩 집지어보기를 가능할 때 까지 반복한다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함수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 :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남은 자료를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축을 기준으로 내림차순 정렬한 후 차례로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hrr[]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에 담고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같은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값은 한꺼번에 담는다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.)</a:t>
          </a:r>
          <a:endParaRPr lang="ko-KR" alt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담은 수가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의 배수라면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값을 기준으로 오름차순 정렬하고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개씩 집지어보기를 가능할 때 까지 반복한다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다음을 반복한다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함수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1,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함수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순으로 처리하기를 반복한다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남은 하르방수가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이하이면 종료</a:t>
          </a:r>
        </a:p>
        <a:p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(3)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함수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1,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함수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로는 처리되지 않고 남은 하르방수가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 이상으로 남은 경우</a:t>
          </a:r>
        </a:p>
        <a:p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함수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3,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함수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순으로 시도해 본다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다음을 반복한다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함수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2,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함수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순으로 처리하기를 반복한다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남은 하르방수가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이하이면 종료</a:t>
          </a:r>
        </a:p>
        <a:p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(3)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함수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2,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함수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로는 처리되지 않고 남은 하르방수가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 이상으로 남은 경우</a:t>
          </a:r>
        </a:p>
        <a:p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함수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3,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함수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순으로 시도해 본다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다음을 반복한다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함수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3,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함수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순으로 처리하기를 반복한다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남은 하르방수가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이하이면 종료</a:t>
          </a:r>
        </a:p>
        <a:p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(3)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함수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3,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함수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로는 처리되지 않고 남은 하르방수가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 이상으로 남은 경우</a:t>
          </a:r>
        </a:p>
        <a:p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함수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1,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함수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시도해 본다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다음을 반복한다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함수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4,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함수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순으로 처리하기를 반복한다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남은 하르방수가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이하이면 종료</a:t>
          </a:r>
        </a:p>
        <a:p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(3)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함수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4,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함수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으로는 처리되지 않고 남은 하르방수가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 이상으로 남은 경우</a:t>
          </a:r>
        </a:p>
        <a:p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    함수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1,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함수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시도해 본다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위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가지 모두 수행해본 결과 모두 남은 하르방 수가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 초과인 경우</a:t>
          </a:r>
        </a:p>
        <a:p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하르방수가 가장 적게 남은 경우를 실행한다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 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위 프로세스 후 남은 하르방이 있는 경우</a:t>
          </a:r>
        </a:p>
        <a:p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한꺼번에 처리한다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 seed : 1~1000000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을 가지고 시도했을때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번 단계에서 남은 하르방이 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 초과인 경우는 발견되지 않는다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각 경우별 처리된 수는 아래와 같다</a:t>
          </a: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ko-KR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ans</a:t>
          </a:r>
        </a:p>
        <a:p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case 1 : 999515</a:t>
          </a:r>
        </a:p>
        <a:p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case 2 : 481</a:t>
          </a:r>
        </a:p>
        <a:p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case 3 : 4</a:t>
          </a:r>
        </a:p>
        <a:p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case 4 : 0</a:t>
          </a:r>
        </a:p>
        <a:p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result</a:t>
          </a:r>
        </a:p>
        <a:p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case 1 : 0</a:t>
          </a:r>
        </a:p>
        <a:p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case 2 : 0</a:t>
          </a:r>
        </a:p>
        <a:p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case 3 : 0</a:t>
          </a:r>
        </a:p>
        <a:p>
          <a:r>
            <a:rPr lang="en-US" altLang="ko-K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case 4 : 0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baseline="0"/>
            <a:t>[</a:t>
          </a:r>
          <a:r>
            <a:rPr lang="ko-KR" altLang="en-US" sz="1100" b="1" baseline="0"/>
            <a:t>고찰</a:t>
          </a:r>
          <a:r>
            <a:rPr lang="en-US" altLang="ko-KR" sz="1100" b="1" baseline="0"/>
            <a:t>]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aseline="0"/>
            <a:t>위 작업을 </a:t>
          </a:r>
          <a:r>
            <a:rPr lang="en-US" altLang="ko-KR" sz="1100" baseline="0"/>
            <a:t>Divide &amp; Conquer</a:t>
          </a:r>
          <a:r>
            <a:rPr lang="ko-KR" altLang="en-US" sz="1100" baseline="0"/>
            <a:t>를 진행하며 큰 크기에서의 점수와 </a:t>
          </a:r>
          <a:endParaRPr lang="en-US" altLang="ko-KR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aseline="0"/>
            <a:t>나뉘어진 구간에서 얻는 점수의 합을 비교하면 어떻게 될까</a:t>
          </a:r>
          <a:r>
            <a:rPr lang="en-US" altLang="ko-KR" sz="1100" baseline="0"/>
            <a:t>?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aseline="0"/>
            <a:t>예를 들면 크기 </a:t>
          </a:r>
          <a:r>
            <a:rPr lang="en-US" altLang="ko-KR" sz="1100" baseline="0"/>
            <a:t>1 * 1</a:t>
          </a:r>
          <a:r>
            <a:rPr lang="ko-KR" altLang="en-US" sz="1100" baseline="0"/>
            <a:t>에서의 점수를 위와 같은 방법으로 구하고</a:t>
          </a:r>
          <a:endParaRPr lang="en-US" altLang="ko-KR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/>
            <a:t>1/4</a:t>
          </a:r>
          <a:r>
            <a:rPr lang="ko-KR" altLang="en-US" sz="1100" baseline="0"/>
            <a:t>크기로 나뉜 </a:t>
          </a:r>
          <a:r>
            <a:rPr lang="en-US" altLang="ko-KR" sz="1100" baseline="0"/>
            <a:t>4</a:t>
          </a:r>
          <a:r>
            <a:rPr lang="ko-KR" altLang="en-US" sz="1100" baseline="0"/>
            <a:t>곳에서의 점수를 구하여 더 좋은 점수로 </a:t>
          </a:r>
          <a:endParaRPr lang="en-US" altLang="ko-KR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aseline="0"/>
            <a:t>업데이트 하는 것을 재귀적으로 수행할 수 있다</a:t>
          </a:r>
          <a:r>
            <a:rPr lang="en-US" altLang="ko-KR" sz="1100" baseline="0"/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0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CAD2D-2B47-458C-85FE-82E551DFE77E}">
  <dimension ref="B5:K30"/>
  <sheetViews>
    <sheetView topLeftCell="A7" workbookViewId="0">
      <selection activeCell="C30" sqref="C30"/>
    </sheetView>
  </sheetViews>
  <sheetFormatPr defaultColWidth="9" defaultRowHeight="17.399999999999999"/>
  <cols>
    <col min="1" max="1" width="3.59765625" style="15" customWidth="1"/>
    <col min="2" max="2" width="5.19921875" style="15" bestFit="1" customWidth="1"/>
    <col min="3" max="3" width="25.59765625" style="15" bestFit="1" customWidth="1"/>
    <col min="4" max="4" width="5.19921875" style="15" customWidth="1"/>
    <col min="5" max="5" width="25" style="15" bestFit="1" customWidth="1"/>
    <col min="6" max="6" width="5.19921875" style="15" customWidth="1"/>
    <col min="7" max="7" width="23.09765625" style="15" bestFit="1" customWidth="1"/>
    <col min="8" max="8" width="5.59765625" style="15" customWidth="1"/>
    <col min="9" max="9" width="23.19921875" style="15" bestFit="1" customWidth="1"/>
    <col min="10" max="10" width="5" style="15" customWidth="1"/>
    <col min="11" max="11" width="26.69921875" style="15" bestFit="1" customWidth="1"/>
    <col min="12" max="16384" width="9" style="15"/>
  </cols>
  <sheetData>
    <row r="5" spans="2:11">
      <c r="C5" s="16" t="s">
        <v>13</v>
      </c>
      <c r="D5" s="16"/>
      <c r="E5" s="16" t="s">
        <v>14</v>
      </c>
      <c r="F5" s="16"/>
      <c r="G5" s="16" t="s">
        <v>15</v>
      </c>
      <c r="I5" s="16" t="s">
        <v>5</v>
      </c>
      <c r="K5" s="16" t="s">
        <v>6</v>
      </c>
    </row>
    <row r="6" spans="2:11">
      <c r="B6" s="15">
        <v>1</v>
      </c>
      <c r="C6" s="18" t="s">
        <v>10</v>
      </c>
      <c r="D6" s="15">
        <v>10</v>
      </c>
      <c r="E6" s="18" t="s">
        <v>24</v>
      </c>
      <c r="F6" s="15">
        <v>20</v>
      </c>
      <c r="G6" s="18" t="s">
        <v>34</v>
      </c>
      <c r="H6" s="15">
        <v>30</v>
      </c>
      <c r="I6" s="18" t="s">
        <v>40</v>
      </c>
      <c r="J6" s="15">
        <v>31</v>
      </c>
      <c r="K6" s="18" t="s">
        <v>44</v>
      </c>
    </row>
    <row r="7" spans="2:11">
      <c r="B7" s="15">
        <v>2</v>
      </c>
      <c r="C7" s="18" t="s">
        <v>11</v>
      </c>
      <c r="D7" s="15">
        <v>11</v>
      </c>
      <c r="E7" s="18" t="s">
        <v>25</v>
      </c>
      <c r="F7" s="15">
        <v>21</v>
      </c>
      <c r="G7" s="18" t="s">
        <v>35</v>
      </c>
    </row>
    <row r="8" spans="2:11">
      <c r="B8" s="15">
        <v>3</v>
      </c>
      <c r="C8" s="18" t="s">
        <v>12</v>
      </c>
      <c r="D8" s="15">
        <v>12</v>
      </c>
      <c r="E8" s="18" t="s">
        <v>26</v>
      </c>
      <c r="F8" s="15">
        <v>22</v>
      </c>
      <c r="G8" s="18" t="s">
        <v>36</v>
      </c>
    </row>
    <row r="9" spans="2:11">
      <c r="B9" s="15">
        <v>4</v>
      </c>
      <c r="C9" s="18" t="s">
        <v>18</v>
      </c>
      <c r="D9" s="15">
        <v>13</v>
      </c>
      <c r="E9" s="18" t="s">
        <v>27</v>
      </c>
      <c r="F9" s="15">
        <v>23</v>
      </c>
      <c r="G9" s="18" t="s">
        <v>37</v>
      </c>
    </row>
    <row r="10" spans="2:11">
      <c r="B10" s="15">
        <v>5</v>
      </c>
      <c r="C10" s="18" t="s">
        <v>19</v>
      </c>
      <c r="D10" s="15">
        <v>14</v>
      </c>
      <c r="E10" s="18" t="s">
        <v>28</v>
      </c>
      <c r="F10" s="15">
        <v>24</v>
      </c>
      <c r="G10" s="18" t="s">
        <v>38</v>
      </c>
    </row>
    <row r="11" spans="2:11">
      <c r="B11" s="15">
        <v>6</v>
      </c>
      <c r="C11" s="18" t="s">
        <v>20</v>
      </c>
      <c r="D11" s="15">
        <v>15</v>
      </c>
      <c r="E11" s="18" t="s">
        <v>29</v>
      </c>
      <c r="F11" s="15">
        <v>25</v>
      </c>
      <c r="G11" s="18" t="s">
        <v>39</v>
      </c>
    </row>
    <row r="12" spans="2:11">
      <c r="B12" s="15">
        <v>7</v>
      </c>
      <c r="C12" s="18" t="s">
        <v>21</v>
      </c>
      <c r="D12" s="15">
        <v>16</v>
      </c>
      <c r="E12" s="18" t="s">
        <v>30</v>
      </c>
      <c r="F12" s="15">
        <v>26</v>
      </c>
      <c r="G12" s="18" t="s">
        <v>45</v>
      </c>
    </row>
    <row r="13" spans="2:11">
      <c r="B13" s="15">
        <v>8</v>
      </c>
      <c r="C13" s="18" t="s">
        <v>22</v>
      </c>
      <c r="D13" s="15">
        <v>17</v>
      </c>
      <c r="E13" s="18" t="s">
        <v>31</v>
      </c>
      <c r="F13" s="15">
        <v>27</v>
      </c>
      <c r="G13" s="18" t="s">
        <v>46</v>
      </c>
    </row>
    <row r="14" spans="2:11">
      <c r="B14" s="15">
        <v>9</v>
      </c>
      <c r="C14" s="18" t="s">
        <v>23</v>
      </c>
      <c r="D14" s="15">
        <v>18</v>
      </c>
      <c r="E14" s="18" t="s">
        <v>32</v>
      </c>
      <c r="F14" s="15">
        <v>28</v>
      </c>
      <c r="G14" s="18" t="s">
        <v>47</v>
      </c>
    </row>
    <row r="15" spans="2:11">
      <c r="D15" s="15">
        <v>19</v>
      </c>
      <c r="E15" s="18" t="s">
        <v>33</v>
      </c>
      <c r="F15" s="15">
        <v>29</v>
      </c>
      <c r="G15" s="18" t="s">
        <v>48</v>
      </c>
    </row>
    <row r="18" spans="2:11">
      <c r="C18" s="16" t="s">
        <v>16</v>
      </c>
      <c r="E18" s="16" t="s">
        <v>17</v>
      </c>
      <c r="G18" s="16" t="s">
        <v>7</v>
      </c>
      <c r="I18" s="16" t="s">
        <v>8</v>
      </c>
      <c r="K18" s="16" t="s">
        <v>9</v>
      </c>
    </row>
    <row r="19" spans="2:11">
      <c r="B19" s="15">
        <v>32</v>
      </c>
      <c r="C19" s="18" t="s">
        <v>55</v>
      </c>
      <c r="D19" s="15">
        <v>41</v>
      </c>
      <c r="E19" s="18" t="s">
        <v>49</v>
      </c>
      <c r="F19" s="15">
        <v>47</v>
      </c>
      <c r="G19" s="18" t="s">
        <v>42</v>
      </c>
      <c r="H19" s="15">
        <v>48</v>
      </c>
      <c r="I19" s="18" t="s">
        <v>41</v>
      </c>
      <c r="J19" s="15">
        <v>49</v>
      </c>
      <c r="K19" s="18" t="s">
        <v>43</v>
      </c>
    </row>
    <row r="20" spans="2:11">
      <c r="B20" s="15">
        <v>33</v>
      </c>
      <c r="C20" s="18" t="s">
        <v>56</v>
      </c>
      <c r="D20" s="15">
        <v>42</v>
      </c>
      <c r="E20" s="18" t="s">
        <v>50</v>
      </c>
    </row>
    <row r="21" spans="2:11">
      <c r="B21" s="15">
        <v>34</v>
      </c>
      <c r="C21" s="18" t="s">
        <v>57</v>
      </c>
      <c r="D21" s="15">
        <v>43</v>
      </c>
      <c r="E21" s="18" t="s">
        <v>51</v>
      </c>
    </row>
    <row r="22" spans="2:11">
      <c r="B22" s="15">
        <v>35</v>
      </c>
      <c r="C22" s="18" t="s">
        <v>58</v>
      </c>
      <c r="D22" s="15">
        <v>44</v>
      </c>
      <c r="E22" s="18" t="s">
        <v>52</v>
      </c>
      <c r="G22" s="17"/>
      <c r="I22" s="17"/>
    </row>
    <row r="23" spans="2:11">
      <c r="B23" s="15">
        <v>36</v>
      </c>
      <c r="C23" s="18" t="s">
        <v>59</v>
      </c>
      <c r="D23" s="15">
        <v>45</v>
      </c>
      <c r="E23" s="18" t="s">
        <v>53</v>
      </c>
    </row>
    <row r="24" spans="2:11">
      <c r="B24" s="15">
        <v>37</v>
      </c>
      <c r="C24" s="18" t="s">
        <v>60</v>
      </c>
      <c r="D24" s="15">
        <v>46</v>
      </c>
      <c r="E24" s="18" t="s">
        <v>54</v>
      </c>
    </row>
    <row r="25" spans="2:11">
      <c r="B25" s="15">
        <v>38</v>
      </c>
      <c r="C25" s="18" t="s">
        <v>61</v>
      </c>
    </row>
    <row r="26" spans="2:11">
      <c r="B26" s="15">
        <v>39</v>
      </c>
      <c r="C26" s="18" t="s">
        <v>62</v>
      </c>
    </row>
    <row r="27" spans="2:11">
      <c r="B27" s="15">
        <v>40</v>
      </c>
      <c r="C27" s="18" t="s">
        <v>63</v>
      </c>
    </row>
    <row r="29" spans="2:11">
      <c r="C29" s="15" t="s">
        <v>270</v>
      </c>
    </row>
    <row r="30" spans="2:11">
      <c r="B30" s="15">
        <v>60</v>
      </c>
      <c r="C30" s="18" t="s">
        <v>271</v>
      </c>
    </row>
  </sheetData>
  <phoneticPr fontId="2" type="noConversion"/>
  <hyperlinks>
    <hyperlink ref="C6" location="'01비트연산1'!A1" display="비트연산1" xr:uid="{54A5A26D-720B-493A-BF59-1A6BAC4725EA}"/>
    <hyperlink ref="C7" location="'02진법변환'!A1" display="진법 변환" xr:uid="{F72FBB70-A52E-44AE-8796-5774CA80D346}"/>
    <hyperlink ref="C8" location="'03주사위던지기01'!A1" display="주사위던지기1" xr:uid="{949D4722-C663-47F9-8F36-ABB00AAAE0A6}"/>
    <hyperlink ref="C9" location="'04주사위던지기02'!A1" display="주사위던지기2" xr:uid="{254DFBEC-ED37-4BDF-8650-A75383B423AE}"/>
    <hyperlink ref="C10" location="'05맛있는음식'!A1" display="맛있는음식" xr:uid="{0D8CC8C1-4750-4D75-BAD2-4A330F42A8DA}"/>
    <hyperlink ref="C11" location="'06벽장문의이동'!A1" display="벽장문의 이동" xr:uid="{6E139A33-5C05-47D8-A4D2-E74DA7BD906A}"/>
    <hyperlink ref="C12" location="'07숫자야구2'!A1" display="숫자야구2" xr:uid="{D1A039B5-A3A9-4526-9215-66023DC8A1EB}"/>
    <hyperlink ref="C13" location="'08스도쿠'!A1" display="스도쿠" xr:uid="{0322DC9F-095A-4ACD-94C7-D3F1E4E5EA2D}"/>
    <hyperlink ref="C14" location="'09비숍'!A1" display="비숍" xr:uid="{A6D94DA6-9A55-4887-B57E-01CD90B3E597}"/>
    <hyperlink ref="E6" location="'10구간합1D'!A1" display="const구간의 합(1D)" xr:uid="{5C3F8E42-D41C-4116-AD36-CEDFA5B2C80B}"/>
    <hyperlink ref="E7" location="'11구간합2D'!A1" display="const구간의 합(2D)" xr:uid="{CE7DABA0-1483-4D0E-88FF-F9733239F574}"/>
    <hyperlink ref="E8" location="'12구간업데이트2D'!A1" display="구간 업데이트 [2D]" xr:uid="{18480BAD-2895-4CD9-AB22-BE8106968A4A}"/>
    <hyperlink ref="E9" location="'13용액'!A1" display="용액" xr:uid="{8FCE3E63-CD1A-4722-A2EE-CE3DE4A3DAB4}"/>
    <hyperlink ref="E10" location="'14부분합'!A1" display="부분합" xr:uid="{DEA62BBC-1B1D-402A-8682-C5934C3AFEE5}"/>
    <hyperlink ref="E11" location="'15힙정렬2'!A1" display="힙정렬2" xr:uid="{42FB0A1C-6B74-4735-9C0F-EA9E548B1811}"/>
    <hyperlink ref="E12" location="'16계수정렬1'!A1" display="계수정렬1" xr:uid="{B8E7C87B-B1A7-4E0D-9B1B-30FC6CE18718}"/>
    <hyperlink ref="E13" location="'17합병정렬'!A1" display="합병정렬" xr:uid="{FF46BE87-A003-4079-91DE-68394812FA9E}"/>
    <hyperlink ref="E14" location="'18퀵정렬'!A1" display="퀵소트" xr:uid="{9CB5A5F7-7E90-44E0-BEAA-099BE7D09483}"/>
    <hyperlink ref="E15" location="'19수열복원'!A1" display="수열복원" xr:uid="{0111D3B7-ABA5-4B67-B142-04355D3B483C}"/>
    <hyperlink ref="G6" location="'20외양간'!A1" display="외양간" xr:uid="{6F3A66CF-D545-4085-82BB-5B5068DD5610}"/>
    <hyperlink ref="G7" location="'21발전소짓기'!A1" display="발전소 짓기" xr:uid="{F228105F-4F1A-4B80-A146-385369BB22BE}"/>
    <hyperlink ref="G8" location="'22냉장고'!A1" display="냉장고" xr:uid="{79FBF433-0311-4462-AA52-E43A23DFF1FA}"/>
    <hyperlink ref="G9" location="'23저울'!A1" display="저울" xr:uid="{9FE8D849-FBA1-47F3-A74B-FF1822ED8710}"/>
    <hyperlink ref="G10" location="'24마인크래프트'!A1" display="마인크래프트" xr:uid="{054DA43B-5F01-4A7F-8ED6-4FA5C6471CAE}"/>
    <hyperlink ref="G11" location="'25에너지교환'!A1" display="에너지 교환" xr:uid="{38A1CBA6-DD54-45C4-A416-EDAF1D782B7B}"/>
    <hyperlink ref="G12" location="'26개미'!A1" display="개미" xr:uid="{C093163D-E409-4682-92A3-5BF7D9B087B0}"/>
    <hyperlink ref="G13" location="'27점모으기'!A1" display="점 모으기" xr:uid="{0E6CA400-C13D-40F6-92B2-C9990AFB8D74}"/>
    <hyperlink ref="G14" location="'28직사각형'!A1" display="직사각형" xr:uid="{CD8CC92A-1F33-449B-8DF6-611C8769762F}"/>
    <hyperlink ref="G15" location="'29도형회전1'!A1" display="도형 회전1" xr:uid="{76DE2F4A-C43A-4212-A72A-881EE7039D3F}"/>
    <hyperlink ref="C19" location="'32보물섬'!A1" display="보물섬" xr:uid="{656A37B7-F71D-4940-865E-1270175E4468}"/>
    <hyperlink ref="C20" location="'33경로찾기'!A1" display="경로찾기" xr:uid="{D8101343-2648-4C0C-81E3-7735E48C1C02}"/>
    <hyperlink ref="C21" location="'34로봇'!A1" display="로봇" xr:uid="{3496394D-4C42-4E78-9A3E-293CAF4DBDE5}"/>
    <hyperlink ref="C22" location="'35버스갈아타기'!A1" display="버스 갈아타기" xr:uid="{ED8C68C7-109D-4962-ADC1-E2731803CAA7}"/>
    <hyperlink ref="C23" location="'36그리드게임'!A1" display="그리드 게임" xr:uid="{12081075-2CD5-4A98-8609-5AF765EF711E}"/>
    <hyperlink ref="C24" location="'37지하철'!A1" display="지하철" xr:uid="{8ABFC874-3724-452A-AFE0-CDB4D95502BF}"/>
    <hyperlink ref="C25" location="'38꿀꿀이축제'!A1" display="꿀꿀이 축제" xr:uid="{8CDC8E28-8665-4489-8837-44BB2BACD18A}"/>
    <hyperlink ref="C26" location="'39모이기'!A1" display="모이기" xr:uid="{5555F505-8D36-4A51-8D2A-303F71F01204}"/>
    <hyperlink ref="C27" location="'40등산로찾기'!A1" display="길정비하기" xr:uid="{8C365DC6-DDCC-4807-8AC9-8265137D31B0}"/>
    <hyperlink ref="E19" location="'41종교'!A1" display="종교" xr:uid="{9EA7F9E9-4657-4CF1-A9A5-CEE0EB907F44}"/>
    <hyperlink ref="E20" location="'42직사각형그룹'!A1" display="직사각형 그룹" xr:uid="{6B0AC44D-21BF-47C5-BE76-4E1200512677}"/>
    <hyperlink ref="E21" location="'43오리무전기'!A1" display="오리무전기" xr:uid="{8076A4A5-C1BA-4A61-BD5B-DC82F142E5C5}"/>
    <hyperlink ref="E22" location="목차!A1" display="트리(중등)" xr:uid="{FBF7D512-F486-4B08-B1FC-45F806924734}"/>
    <hyperlink ref="E23" location="'45비용'!A1" display="비용" xr:uid="{9906BCC4-835B-4F49-A6CC-393713DEC930}"/>
    <hyperlink ref="E24" location="'46TS경유지운송'!A1" display="TS경유지운송(py)" xr:uid="{B4F57FA3-FB0C-4A83-BB23-5A3BA785692D}"/>
    <hyperlink ref="G19" location="'47EXGerm'!A1" display="EX Germs(240525)" xr:uid="{15971293-1E1D-48D3-A468-1272D44D24E3}"/>
    <hyperlink ref="I19" location="'48EX우주선착륙'!A1" display="EX 우주선착륙(240706)" xr:uid="{6325F255-EDFF-4C76-A65C-C26CDAC623F7}"/>
    <hyperlink ref="K19" location="목차!A1" display=" EX 노후화된 도로(250719)" xr:uid="{792C9EB7-5C01-4C3D-B061-A022BFA507CE}"/>
    <hyperlink ref="I6" location="'30EX안테나배정'!A1" display="EX 안테나배정(230916)" xr:uid="{6C2B4809-3C1D-42A3-991B-3328A73D176F}"/>
    <hyperlink ref="K6" location="'31EX화물기차'!A1" display="EX 화물기차(250329)" xr:uid="{74803CDD-0895-47F6-896C-B6F6497995A3}"/>
    <hyperlink ref="C30" location="'60EXSquare'!A1" display="EX Square" xr:uid="{7A81885D-EBA3-458C-ABD8-156B7FAC877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Q19" sqref="Q19"/>
    </sheetView>
  </sheetViews>
  <sheetFormatPr defaultRowHeight="17.399999999999999"/>
  <sheetData>
    <row r="1" spans="1:1" ht="18" thickBot="1">
      <c r="A1" s="19" t="s">
        <v>64</v>
      </c>
    </row>
  </sheetData>
  <phoneticPr fontId="2" type="noConversion"/>
  <hyperlinks>
    <hyperlink ref="A1" location="목차!A1" display="HOME" xr:uid="{AC403E22-35DD-440C-90A6-A7D25E9A62FB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033FB-19C4-42AE-A3D3-931FCF1D55DC}">
  <dimension ref="A1:R25"/>
  <sheetViews>
    <sheetView zoomScale="145" zoomScaleNormal="145" workbookViewId="0"/>
  </sheetViews>
  <sheetFormatPr defaultColWidth="4.09765625" defaultRowHeight="17.399999999999999"/>
  <cols>
    <col min="1" max="1" width="8.59765625" style="2" customWidth="1"/>
    <col min="2" max="6" width="4.09765625" style="2"/>
    <col min="7" max="7" width="36.69921875" style="2" customWidth="1"/>
    <col min="8" max="9" width="4.09765625" style="2"/>
    <col min="10" max="11" width="8.59765625" style="2" customWidth="1"/>
    <col min="12" max="12" width="10.59765625" style="2" customWidth="1"/>
    <col min="13" max="16384" width="4.09765625" style="2"/>
  </cols>
  <sheetData>
    <row r="1" spans="1:18" ht="18" thickBot="1">
      <c r="A1" s="19" t="s">
        <v>64</v>
      </c>
    </row>
    <row r="15" spans="1:18">
      <c r="R15" s="1"/>
    </row>
    <row r="21" spans="2:12">
      <c r="B21" s="3">
        <v>1</v>
      </c>
      <c r="C21" s="4">
        <v>1</v>
      </c>
      <c r="D21" s="5">
        <v>0</v>
      </c>
      <c r="E21" s="6">
        <v>1</v>
      </c>
      <c r="F21" s="7" t="s">
        <v>0</v>
      </c>
      <c r="G21" s="8" t="s">
        <v>1</v>
      </c>
      <c r="J21" s="2" t="s">
        <v>2</v>
      </c>
      <c r="K21" s="2" t="s">
        <v>3</v>
      </c>
      <c r="L21" s="2" t="s">
        <v>4</v>
      </c>
    </row>
    <row r="22" spans="2:12" ht="21">
      <c r="B22" s="9">
        <v>1</v>
      </c>
      <c r="G22" s="10"/>
      <c r="J22" s="2">
        <v>2</v>
      </c>
      <c r="K22" s="2">
        <v>13</v>
      </c>
      <c r="L22" s="11">
        <v>1</v>
      </c>
    </row>
    <row r="23" spans="2:12" ht="21">
      <c r="B23" s="95">
        <v>3</v>
      </c>
      <c r="C23" s="95"/>
      <c r="J23" s="2">
        <v>2</v>
      </c>
      <c r="K23" s="2">
        <v>6</v>
      </c>
      <c r="L23" s="12">
        <v>0</v>
      </c>
    </row>
    <row r="24" spans="2:12" ht="21">
      <c r="B24" s="96">
        <v>6</v>
      </c>
      <c r="C24" s="96"/>
      <c r="D24" s="96"/>
      <c r="J24" s="2">
        <v>2</v>
      </c>
      <c r="K24" s="2">
        <v>3</v>
      </c>
      <c r="L24" s="13">
        <v>1</v>
      </c>
    </row>
    <row r="25" spans="2:12" ht="21">
      <c r="B25" s="97">
        <v>13</v>
      </c>
      <c r="C25" s="97"/>
      <c r="D25" s="97"/>
      <c r="E25" s="97"/>
      <c r="K25" s="14">
        <v>1</v>
      </c>
    </row>
  </sheetData>
  <mergeCells count="3">
    <mergeCell ref="B23:C23"/>
    <mergeCell ref="B24:D24"/>
    <mergeCell ref="B25:E25"/>
  </mergeCells>
  <phoneticPr fontId="2" type="noConversion"/>
  <hyperlinks>
    <hyperlink ref="A1" location="목차!A1" display="HOME" xr:uid="{74906BD8-570F-461B-8748-F1826A7DDB0A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606AF-DB65-4A5E-95C3-A38C61F10410}">
  <dimension ref="A1"/>
  <sheetViews>
    <sheetView topLeftCell="A16" workbookViewId="0"/>
  </sheetViews>
  <sheetFormatPr defaultRowHeight="17.399999999999999"/>
  <cols>
    <col min="1" max="1" width="6.69921875" customWidth="1"/>
  </cols>
  <sheetData>
    <row r="1" spans="1:1" ht="18" thickBot="1">
      <c r="A1" s="19" t="s">
        <v>64</v>
      </c>
    </row>
  </sheetData>
  <phoneticPr fontId="2" type="noConversion"/>
  <hyperlinks>
    <hyperlink ref="A1" location="목차!A1" display="HOME" xr:uid="{6EF1279D-63B7-45C7-8339-65008C3AF2DC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F0818-0C1B-4CEC-8B3B-F1BDAEDC1508}">
  <dimension ref="A1"/>
  <sheetViews>
    <sheetView workbookViewId="0">
      <selection activeCell="E26" sqref="E26"/>
    </sheetView>
  </sheetViews>
  <sheetFormatPr defaultRowHeight="17.399999999999999"/>
  <cols>
    <col min="1" max="1" width="6.69921875" customWidth="1"/>
  </cols>
  <sheetData>
    <row r="1" spans="1:1" ht="18" thickBot="1">
      <c r="A1" s="19" t="s">
        <v>64</v>
      </c>
    </row>
  </sheetData>
  <phoneticPr fontId="2" type="noConversion"/>
  <hyperlinks>
    <hyperlink ref="A1" location="목차!A1" display="HOME" xr:uid="{47A2FF2B-5B83-480A-BBA9-A30375C3F2B6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B58B4-DECD-423A-A916-EF09C5123D89}">
  <dimension ref="A1:S9"/>
  <sheetViews>
    <sheetView zoomScale="145" zoomScaleNormal="145" workbookViewId="0">
      <selection activeCell="O18" sqref="O18"/>
    </sheetView>
  </sheetViews>
  <sheetFormatPr defaultRowHeight="17.399999999999999"/>
  <cols>
    <col min="1" max="1" width="6.69921875" customWidth="1"/>
    <col min="12" max="13" width="6.3984375" style="2" customWidth="1"/>
    <col min="14" max="17" width="2.69921875" style="2" customWidth="1"/>
    <col min="18" max="20" width="2.69921875" customWidth="1"/>
  </cols>
  <sheetData>
    <row r="1" spans="1:19" ht="18" thickBot="1">
      <c r="A1" s="19" t="s">
        <v>64</v>
      </c>
    </row>
    <row r="2" spans="1:19">
      <c r="L2" s="2">
        <v>4</v>
      </c>
    </row>
    <row r="3" spans="1:19">
      <c r="L3" s="2" t="s">
        <v>89</v>
      </c>
      <c r="M3" s="2" t="s">
        <v>90</v>
      </c>
    </row>
    <row r="4" spans="1:19">
      <c r="L4" s="2">
        <v>1</v>
      </c>
      <c r="M4" s="2">
        <v>7</v>
      </c>
      <c r="N4" s="2">
        <v>0</v>
      </c>
      <c r="O4" s="2">
        <v>0</v>
      </c>
      <c r="P4" s="2">
        <v>0</v>
      </c>
      <c r="Q4" s="2">
        <v>0</v>
      </c>
      <c r="R4" t="s">
        <v>91</v>
      </c>
      <c r="S4" s="2">
        <v>0</v>
      </c>
    </row>
    <row r="5" spans="1:19">
      <c r="L5" s="2">
        <v>2</v>
      </c>
      <c r="M5" s="2">
        <v>6</v>
      </c>
      <c r="N5" s="2">
        <v>0</v>
      </c>
      <c r="O5" s="2">
        <v>0</v>
      </c>
      <c r="P5" s="2">
        <v>0</v>
      </c>
      <c r="Q5" s="2">
        <v>0</v>
      </c>
      <c r="R5" t="s">
        <v>91</v>
      </c>
      <c r="S5" s="2">
        <v>1</v>
      </c>
    </row>
    <row r="6" spans="1:19">
      <c r="L6" s="2">
        <v>3</v>
      </c>
      <c r="M6" s="2">
        <v>8</v>
      </c>
      <c r="N6" s="2">
        <v>0</v>
      </c>
      <c r="O6" s="2">
        <v>0</v>
      </c>
      <c r="P6" s="2">
        <v>1</v>
      </c>
      <c r="Q6" s="2">
        <v>1</v>
      </c>
      <c r="R6" t="s">
        <v>91</v>
      </c>
      <c r="S6" s="2">
        <v>1</v>
      </c>
    </row>
    <row r="7" spans="1:19">
      <c r="L7" s="2">
        <v>4</v>
      </c>
      <c r="M7" s="2">
        <v>9</v>
      </c>
      <c r="N7" s="2">
        <v>0</v>
      </c>
      <c r="O7" s="2">
        <v>1</v>
      </c>
      <c r="P7" s="2">
        <v>0</v>
      </c>
      <c r="Q7" s="2">
        <v>1</v>
      </c>
      <c r="R7" t="s">
        <v>91</v>
      </c>
      <c r="S7" s="2">
        <v>1</v>
      </c>
    </row>
    <row r="8" spans="1:19">
      <c r="L8" s="2" t="s">
        <v>92</v>
      </c>
      <c r="S8" s="2">
        <v>24</v>
      </c>
    </row>
    <row r="9" spans="1:19">
      <c r="L9" s="2" t="s">
        <v>93</v>
      </c>
      <c r="S9" s="2">
        <v>23</v>
      </c>
    </row>
  </sheetData>
  <phoneticPr fontId="2" type="noConversion"/>
  <hyperlinks>
    <hyperlink ref="A1" location="목차!A1" display="HOME" xr:uid="{22218375-B223-481A-ACAA-7EEE46E799C8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8A665-90D7-4F38-BDBF-D2D9E1358565}">
  <dimension ref="A1:AA17"/>
  <sheetViews>
    <sheetView topLeftCell="A9" zoomScale="115" zoomScaleNormal="115" workbookViewId="0">
      <selection activeCell="AB24" sqref="AB24"/>
    </sheetView>
  </sheetViews>
  <sheetFormatPr defaultRowHeight="17.399999999999999"/>
  <cols>
    <col min="1" max="1" width="6.69921875" customWidth="1"/>
    <col min="11" max="24" width="3.796875" style="2" customWidth="1"/>
    <col min="25" max="25" width="5.19921875" style="2" customWidth="1"/>
    <col min="26" max="27" width="3.296875" style="23" customWidth="1"/>
  </cols>
  <sheetData>
    <row r="1" spans="1:27" ht="18" thickBot="1">
      <c r="A1" s="19" t="s">
        <v>64</v>
      </c>
      <c r="Z1" s="24" t="s">
        <v>84</v>
      </c>
      <c r="AA1" s="25" t="s">
        <v>94</v>
      </c>
    </row>
    <row r="2" spans="1:27">
      <c r="M2" s="102" t="s">
        <v>97</v>
      </c>
      <c r="N2" s="102"/>
      <c r="O2" s="102"/>
      <c r="P2" s="102"/>
      <c r="Q2" s="102"/>
      <c r="R2" s="102"/>
      <c r="S2" s="102"/>
      <c r="Z2" s="24" t="s">
        <v>95</v>
      </c>
      <c r="AA2" s="24" t="s">
        <v>96</v>
      </c>
    </row>
    <row r="3" spans="1:27" ht="18" thickBot="1">
      <c r="M3" s="20">
        <v>1</v>
      </c>
      <c r="N3" s="20">
        <v>2</v>
      </c>
      <c r="O3" s="20">
        <v>3</v>
      </c>
      <c r="P3" s="20">
        <v>4</v>
      </c>
      <c r="Q3" s="20">
        <v>5</v>
      </c>
      <c r="R3" s="20">
        <v>6</v>
      </c>
      <c r="S3" s="20">
        <v>7</v>
      </c>
      <c r="Z3" s="25">
        <v>2</v>
      </c>
      <c r="AA3" s="24">
        <v>5</v>
      </c>
    </row>
    <row r="4" spans="1:27">
      <c r="M4" s="98"/>
      <c r="N4" s="100"/>
      <c r="O4" s="98"/>
      <c r="P4" s="98"/>
      <c r="Q4" s="100"/>
      <c r="R4" s="98"/>
      <c r="S4" s="98"/>
      <c r="Y4" s="27" t="s">
        <v>98</v>
      </c>
      <c r="Z4" s="28">
        <v>4</v>
      </c>
      <c r="AA4" s="24"/>
    </row>
    <row r="5" spans="1:27" ht="18" thickBot="1">
      <c r="M5" s="99"/>
      <c r="N5" s="101"/>
      <c r="O5" s="99"/>
      <c r="P5" s="99"/>
      <c r="Q5" s="101"/>
      <c r="R5" s="99"/>
      <c r="S5" s="99"/>
      <c r="Y5" s="20">
        <v>1</v>
      </c>
      <c r="Z5" s="25">
        <v>3</v>
      </c>
      <c r="AA5" s="24"/>
    </row>
    <row r="6" spans="1:27">
      <c r="Y6" s="20">
        <v>2</v>
      </c>
      <c r="Z6" s="25">
        <v>1</v>
      </c>
      <c r="AA6" s="24"/>
    </row>
    <row r="7" spans="1:27">
      <c r="Y7" s="20">
        <v>3</v>
      </c>
      <c r="Z7" s="25">
        <v>6</v>
      </c>
      <c r="AA7" s="24"/>
    </row>
    <row r="8" spans="1:27">
      <c r="M8" s="102" t="s">
        <v>99</v>
      </c>
      <c r="N8" s="102"/>
      <c r="O8" s="102"/>
      <c r="P8" s="102"/>
      <c r="Q8" s="102"/>
      <c r="R8" s="102"/>
      <c r="S8" s="102"/>
      <c r="T8" s="102"/>
      <c r="U8" s="102"/>
      <c r="V8" s="102"/>
      <c r="Y8" s="20">
        <v>4</v>
      </c>
      <c r="Z8" s="25">
        <v>5</v>
      </c>
      <c r="AA8" s="24"/>
    </row>
    <row r="9" spans="1:27" ht="18" thickBot="1">
      <c r="M9" s="20">
        <v>1</v>
      </c>
      <c r="N9" s="20">
        <v>2</v>
      </c>
      <c r="O9" s="20">
        <v>3</v>
      </c>
      <c r="P9" s="20">
        <v>4</v>
      </c>
      <c r="Q9" s="20">
        <v>5</v>
      </c>
      <c r="R9" s="20">
        <v>6</v>
      </c>
      <c r="S9" s="20">
        <v>7</v>
      </c>
    </row>
    <row r="10" spans="1:27">
      <c r="M10" s="98"/>
      <c r="N10" s="98"/>
      <c r="O10" s="100"/>
      <c r="P10" s="98"/>
      <c r="Q10" s="100"/>
      <c r="R10" s="98"/>
      <c r="S10" s="98"/>
    </row>
    <row r="11" spans="1:27" ht="18" thickBot="1">
      <c r="M11" s="99"/>
      <c r="N11" s="99"/>
      <c r="O11" s="101"/>
      <c r="P11" s="99"/>
      <c r="Q11" s="101"/>
      <c r="R11" s="99"/>
      <c r="S11" s="99"/>
    </row>
    <row r="13" spans="1:27">
      <c r="M13" s="102" t="s">
        <v>100</v>
      </c>
      <c r="N13" s="102"/>
      <c r="O13" s="102"/>
      <c r="P13" s="102"/>
      <c r="Q13" s="102"/>
      <c r="R13" s="102"/>
      <c r="S13" s="102"/>
      <c r="T13" s="102"/>
      <c r="U13" s="102"/>
      <c r="V13" s="102"/>
    </row>
    <row r="14" spans="1:27">
      <c r="M14" s="20">
        <v>1</v>
      </c>
      <c r="N14" s="20">
        <v>2</v>
      </c>
      <c r="O14" s="20">
        <v>3</v>
      </c>
      <c r="P14" s="20">
        <v>4</v>
      </c>
      <c r="Q14" s="20">
        <v>5</v>
      </c>
      <c r="R14" s="20">
        <v>6</v>
      </c>
      <c r="S14" s="20">
        <v>7</v>
      </c>
    </row>
    <row r="15" spans="1:27" ht="18" thickBot="1">
      <c r="M15" s="20">
        <v>1</v>
      </c>
      <c r="N15" s="20">
        <v>2</v>
      </c>
      <c r="O15" s="20">
        <v>3</v>
      </c>
      <c r="P15" s="20">
        <v>4</v>
      </c>
      <c r="Q15" s="20">
        <v>5</v>
      </c>
      <c r="R15" s="20">
        <v>6</v>
      </c>
      <c r="S15" s="20">
        <v>7</v>
      </c>
    </row>
    <row r="16" spans="1:27">
      <c r="M16" s="98"/>
      <c r="N16" s="100"/>
      <c r="O16" s="100"/>
      <c r="P16" s="98"/>
      <c r="Q16" s="98"/>
      <c r="R16" s="98"/>
      <c r="S16" s="98"/>
    </row>
    <row r="17" spans="13:19" ht="18" thickBot="1">
      <c r="M17" s="99"/>
      <c r="N17" s="101"/>
      <c r="O17" s="101"/>
      <c r="P17" s="99"/>
      <c r="Q17" s="99"/>
      <c r="R17" s="99"/>
      <c r="S17" s="99"/>
    </row>
  </sheetData>
  <mergeCells count="24">
    <mergeCell ref="S16:S17"/>
    <mergeCell ref="P10:P11"/>
    <mergeCell ref="M2:S2"/>
    <mergeCell ref="M8:V8"/>
    <mergeCell ref="M13:V13"/>
    <mergeCell ref="M16:M17"/>
    <mergeCell ref="N16:N17"/>
    <mergeCell ref="O16:O17"/>
    <mergeCell ref="P16:P17"/>
    <mergeCell ref="Q16:Q17"/>
    <mergeCell ref="R16:R17"/>
    <mergeCell ref="S4:S5"/>
    <mergeCell ref="M10:M11"/>
    <mergeCell ref="N10:N11"/>
    <mergeCell ref="O10:O11"/>
    <mergeCell ref="Q10:Q11"/>
    <mergeCell ref="R10:R11"/>
    <mergeCell ref="S10:S11"/>
    <mergeCell ref="M4:M5"/>
    <mergeCell ref="N4:N5"/>
    <mergeCell ref="O4:O5"/>
    <mergeCell ref="P4:P5"/>
    <mergeCell ref="Q4:Q5"/>
    <mergeCell ref="R4:R5"/>
  </mergeCells>
  <phoneticPr fontId="2" type="noConversion"/>
  <hyperlinks>
    <hyperlink ref="A1" location="목차!A1" display="HOME" xr:uid="{09B92126-55D5-474C-B618-700331A8F3CD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25BE2-5488-48E0-84FB-D2F660254CE5}">
  <dimension ref="A1:AG11"/>
  <sheetViews>
    <sheetView topLeftCell="C1" zoomScale="130" zoomScaleNormal="130" workbookViewId="0">
      <selection activeCell="L11" sqref="L11:P11"/>
    </sheetView>
  </sheetViews>
  <sheetFormatPr defaultRowHeight="17.399999999999999"/>
  <cols>
    <col min="1" max="1" width="6.69921875" customWidth="1"/>
    <col min="12" max="18" width="4.3984375" style="2" customWidth="1"/>
    <col min="19" max="19" width="6.19921875" style="2" customWidth="1"/>
    <col min="20" max="33" width="4.3984375" style="2" customWidth="1"/>
  </cols>
  <sheetData>
    <row r="1" spans="1:29" ht="18" thickBot="1">
      <c r="A1" s="19" t="s">
        <v>64</v>
      </c>
    </row>
    <row r="4" spans="1:29">
      <c r="P4" s="2" t="s">
        <v>87</v>
      </c>
      <c r="Q4" s="2" t="s">
        <v>88</v>
      </c>
    </row>
    <row r="5" spans="1:29">
      <c r="K5" s="2" t="s">
        <v>86</v>
      </c>
      <c r="L5" s="20">
        <v>0</v>
      </c>
      <c r="M5" s="20">
        <v>1</v>
      </c>
      <c r="N5" s="20">
        <v>2</v>
      </c>
      <c r="O5" s="20">
        <v>3</v>
      </c>
      <c r="P5" s="20">
        <v>4</v>
      </c>
      <c r="Q5" s="20">
        <v>5</v>
      </c>
      <c r="S5" s="2" t="s">
        <v>85</v>
      </c>
      <c r="T5" s="20">
        <v>0</v>
      </c>
      <c r="U5" s="20">
        <v>1</v>
      </c>
      <c r="V5" s="20">
        <v>2</v>
      </c>
      <c r="W5" s="20">
        <v>3</v>
      </c>
      <c r="X5" s="20">
        <v>4</v>
      </c>
      <c r="Y5" s="20">
        <v>5</v>
      </c>
      <c r="Z5" s="20">
        <v>6</v>
      </c>
      <c r="AA5" s="20">
        <v>7</v>
      </c>
      <c r="AB5" s="20">
        <v>8</v>
      </c>
      <c r="AC5" s="20">
        <v>9</v>
      </c>
    </row>
    <row r="6" spans="1:29">
      <c r="L6" s="2">
        <v>0</v>
      </c>
      <c r="M6" s="2">
        <v>1</v>
      </c>
      <c r="N6" s="2">
        <v>2</v>
      </c>
      <c r="O6" s="2">
        <v>3</v>
      </c>
      <c r="P6" s="2">
        <v>0</v>
      </c>
      <c r="Q6" s="2">
        <v>1</v>
      </c>
      <c r="T6" s="2">
        <v>-1</v>
      </c>
      <c r="U6" s="2">
        <v>0</v>
      </c>
      <c r="V6" s="2">
        <v>-1</v>
      </c>
      <c r="W6" s="2">
        <v>-1</v>
      </c>
      <c r="X6" s="2">
        <v>-1</v>
      </c>
      <c r="Y6" s="2">
        <v>1</v>
      </c>
      <c r="Z6" s="2">
        <v>-1</v>
      </c>
      <c r="AA6" s="2">
        <v>2</v>
      </c>
      <c r="AB6" s="2">
        <v>3</v>
      </c>
      <c r="AC6" s="2">
        <v>-1</v>
      </c>
    </row>
    <row r="7" spans="1:29">
      <c r="L7" s="2">
        <v>1</v>
      </c>
      <c r="M7" s="2">
        <v>4</v>
      </c>
      <c r="N7" s="2">
        <v>5</v>
      </c>
      <c r="O7" s="2">
        <v>6</v>
      </c>
      <c r="P7" s="2">
        <v>1</v>
      </c>
      <c r="Q7" s="2">
        <v>1</v>
      </c>
    </row>
    <row r="8" spans="1:29">
      <c r="L8" s="2">
        <v>1</v>
      </c>
      <c r="M8" s="2">
        <v>5</v>
      </c>
      <c r="N8" s="2">
        <v>7</v>
      </c>
      <c r="O8" s="2">
        <v>8</v>
      </c>
      <c r="P8" s="2">
        <v>1</v>
      </c>
      <c r="Q8" s="2">
        <v>1</v>
      </c>
    </row>
    <row r="9" spans="1:29">
      <c r="L9" s="2">
        <v>1</v>
      </c>
      <c r="M9" s="2">
        <v>6</v>
      </c>
      <c r="N9" s="2">
        <v>8</v>
      </c>
      <c r="O9" s="2">
        <v>9</v>
      </c>
      <c r="P9" s="2">
        <v>0</v>
      </c>
      <c r="Q9" s="2">
        <v>1</v>
      </c>
    </row>
    <row r="10" spans="1:29">
      <c r="L10" s="2">
        <v>4</v>
      </c>
      <c r="M10" s="2">
        <v>0</v>
      </c>
      <c r="N10" s="2">
        <v>5</v>
      </c>
      <c r="O10" s="2">
        <v>8</v>
      </c>
      <c r="P10" s="2">
        <v>1</v>
      </c>
      <c r="Q10" s="2">
        <v>2</v>
      </c>
    </row>
    <row r="11" spans="1:29">
      <c r="L11" s="2">
        <v>5</v>
      </c>
      <c r="M11" s="2">
        <v>4</v>
      </c>
      <c r="N11" s="2">
        <v>3</v>
      </c>
      <c r="O11" s="2">
        <v>8</v>
      </c>
      <c r="P11" s="2">
        <v>4</v>
      </c>
      <c r="Q11" s="2">
        <v>0</v>
      </c>
    </row>
  </sheetData>
  <phoneticPr fontId="2" type="noConversion"/>
  <hyperlinks>
    <hyperlink ref="A1" location="목차!A1" display="HOME" xr:uid="{E71FFA08-23DC-4536-B66C-575B12F742B7}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5A511-A5DA-41BC-9E92-35418966FEFE}">
  <dimension ref="A1:V26"/>
  <sheetViews>
    <sheetView topLeftCell="C2" zoomScale="115" zoomScaleNormal="115" workbookViewId="0">
      <selection activeCell="S22" sqref="S22"/>
    </sheetView>
  </sheetViews>
  <sheetFormatPr defaultRowHeight="22.5" customHeight="1"/>
  <cols>
    <col min="1" max="1" width="6.69921875" customWidth="1"/>
    <col min="11" max="11" width="5.8984375" customWidth="1"/>
    <col min="12" max="12" width="7.19921875" style="2" customWidth="1"/>
    <col min="13" max="22" width="4" style="2" customWidth="1"/>
  </cols>
  <sheetData>
    <row r="1" spans="1:22" ht="22.5" customHeight="1" thickBot="1">
      <c r="A1" s="19" t="s">
        <v>64</v>
      </c>
    </row>
    <row r="3" spans="1:22" ht="22.5" customHeight="1">
      <c r="N3" s="102" t="s">
        <v>65</v>
      </c>
      <c r="O3" s="102"/>
      <c r="P3" s="102"/>
      <c r="Q3" s="102"/>
      <c r="R3" s="102"/>
      <c r="S3" s="102"/>
      <c r="T3" s="102"/>
      <c r="U3" s="102"/>
      <c r="V3" s="102"/>
    </row>
    <row r="4" spans="1:22" ht="22.5" customHeight="1">
      <c r="N4" s="102" t="s">
        <v>70</v>
      </c>
      <c r="O4" s="102"/>
      <c r="P4" s="102"/>
      <c r="Q4" s="102" t="s">
        <v>71</v>
      </c>
      <c r="R4" s="102"/>
      <c r="S4" s="102"/>
      <c r="T4" s="102" t="s">
        <v>72</v>
      </c>
      <c r="U4" s="102"/>
      <c r="V4" s="102"/>
    </row>
    <row r="5" spans="1:22" ht="22.5" customHeight="1" thickBot="1">
      <c r="N5" s="20">
        <v>0</v>
      </c>
      <c r="O5" s="20">
        <v>1</v>
      </c>
      <c r="P5" s="20">
        <v>2</v>
      </c>
      <c r="Q5" s="20">
        <v>3</v>
      </c>
      <c r="R5" s="20">
        <v>4</v>
      </c>
      <c r="S5" s="20">
        <v>5</v>
      </c>
      <c r="T5" s="20">
        <v>6</v>
      </c>
      <c r="U5" s="20">
        <v>7</v>
      </c>
      <c r="V5" s="20">
        <v>8</v>
      </c>
    </row>
    <row r="6" spans="1:22" ht="22.5" customHeight="1">
      <c r="K6" s="102" t="s">
        <v>66</v>
      </c>
      <c r="L6" s="102" t="s">
        <v>67</v>
      </c>
      <c r="M6" s="20">
        <v>0</v>
      </c>
      <c r="N6" s="103" t="s">
        <v>73</v>
      </c>
      <c r="O6" s="104"/>
      <c r="P6" s="105"/>
      <c r="Q6" s="103" t="s">
        <v>74</v>
      </c>
      <c r="R6" s="104"/>
      <c r="S6" s="105"/>
      <c r="T6" s="103" t="s">
        <v>75</v>
      </c>
      <c r="U6" s="104"/>
      <c r="V6" s="105"/>
    </row>
    <row r="7" spans="1:22" ht="22.5" customHeight="1">
      <c r="K7" s="102"/>
      <c r="L7" s="102"/>
      <c r="M7" s="20">
        <v>1</v>
      </c>
      <c r="N7" s="106"/>
      <c r="O7" s="102"/>
      <c r="P7" s="107"/>
      <c r="Q7" s="106"/>
      <c r="R7" s="102"/>
      <c r="S7" s="107"/>
      <c r="T7" s="106"/>
      <c r="U7" s="102"/>
      <c r="V7" s="107"/>
    </row>
    <row r="8" spans="1:22" ht="22.5" customHeight="1" thickBot="1">
      <c r="K8" s="102"/>
      <c r="L8" s="102"/>
      <c r="M8" s="20">
        <v>2</v>
      </c>
      <c r="N8" s="108"/>
      <c r="O8" s="109"/>
      <c r="P8" s="110"/>
      <c r="Q8" s="108"/>
      <c r="R8" s="109"/>
      <c r="S8" s="110"/>
      <c r="T8" s="108"/>
      <c r="U8" s="109"/>
      <c r="V8" s="110"/>
    </row>
    <row r="9" spans="1:22" ht="22.5" customHeight="1">
      <c r="K9" s="102"/>
      <c r="L9" s="102" t="s">
        <v>68</v>
      </c>
      <c r="M9" s="20">
        <v>3</v>
      </c>
      <c r="N9" s="103" t="s">
        <v>76</v>
      </c>
      <c r="O9" s="104"/>
      <c r="P9" s="105"/>
      <c r="Q9" s="103" t="s">
        <v>77</v>
      </c>
      <c r="R9" s="104"/>
      <c r="S9" s="105"/>
      <c r="T9" s="103" t="s">
        <v>78</v>
      </c>
      <c r="U9" s="104"/>
      <c r="V9" s="105"/>
    </row>
    <row r="10" spans="1:22" ht="22.5" customHeight="1">
      <c r="K10" s="102"/>
      <c r="L10" s="102"/>
      <c r="M10" s="20">
        <v>4</v>
      </c>
      <c r="N10" s="106"/>
      <c r="O10" s="102"/>
      <c r="P10" s="107"/>
      <c r="Q10" s="106"/>
      <c r="R10" s="102"/>
      <c r="S10" s="107"/>
      <c r="T10" s="106"/>
      <c r="U10" s="102"/>
      <c r="V10" s="107"/>
    </row>
    <row r="11" spans="1:22" ht="22.5" customHeight="1" thickBot="1">
      <c r="K11" s="102"/>
      <c r="L11" s="102"/>
      <c r="M11" s="20">
        <v>5</v>
      </c>
      <c r="N11" s="108"/>
      <c r="O11" s="109"/>
      <c r="P11" s="110"/>
      <c r="Q11" s="108"/>
      <c r="R11" s="109"/>
      <c r="S11" s="110"/>
      <c r="T11" s="108"/>
      <c r="U11" s="109"/>
      <c r="V11" s="110"/>
    </row>
    <row r="12" spans="1:22" ht="22.5" customHeight="1">
      <c r="K12" s="102"/>
      <c r="L12" s="102" t="s">
        <v>69</v>
      </c>
      <c r="M12" s="20">
        <v>6</v>
      </c>
      <c r="N12" s="103" t="s">
        <v>79</v>
      </c>
      <c r="O12" s="104"/>
      <c r="P12" s="105"/>
      <c r="Q12" s="103" t="s">
        <v>80</v>
      </c>
      <c r="R12" s="104"/>
      <c r="S12" s="105"/>
      <c r="T12" s="103" t="s">
        <v>81</v>
      </c>
      <c r="U12" s="104"/>
      <c r="V12" s="105"/>
    </row>
    <row r="13" spans="1:22" ht="22.5" customHeight="1">
      <c r="K13" s="102"/>
      <c r="L13" s="102"/>
      <c r="M13" s="20">
        <v>7</v>
      </c>
      <c r="N13" s="106"/>
      <c r="O13" s="102"/>
      <c r="P13" s="107"/>
      <c r="Q13" s="106"/>
      <c r="R13" s="102"/>
      <c r="S13" s="107"/>
      <c r="T13" s="106"/>
      <c r="U13" s="102"/>
      <c r="V13" s="107"/>
    </row>
    <row r="14" spans="1:22" ht="22.5" customHeight="1" thickBot="1">
      <c r="K14" s="102"/>
      <c r="L14" s="102"/>
      <c r="M14" s="20">
        <v>8</v>
      </c>
      <c r="N14" s="108"/>
      <c r="O14" s="109"/>
      <c r="P14" s="110"/>
      <c r="Q14" s="108"/>
      <c r="R14" s="109"/>
      <c r="S14" s="110"/>
      <c r="T14" s="108"/>
      <c r="U14" s="109"/>
      <c r="V14" s="110"/>
    </row>
    <row r="17" spans="13:22" ht="22.5" customHeight="1">
      <c r="N17" s="20">
        <v>0</v>
      </c>
      <c r="O17" s="20">
        <v>1</v>
      </c>
      <c r="P17" s="20">
        <v>2</v>
      </c>
      <c r="Q17" s="20">
        <v>3</v>
      </c>
      <c r="R17" s="20">
        <v>4</v>
      </c>
      <c r="S17" s="20">
        <v>5</v>
      </c>
      <c r="T17" s="20">
        <v>6</v>
      </c>
      <c r="U17" s="20">
        <v>7</v>
      </c>
      <c r="V17" s="20">
        <v>8</v>
      </c>
    </row>
    <row r="18" spans="13:22" ht="22.5" customHeight="1">
      <c r="M18" s="20">
        <v>0</v>
      </c>
      <c r="N18" s="2">
        <f>$M18*9+N$17</f>
        <v>0</v>
      </c>
      <c r="O18" s="2">
        <f t="shared" ref="O18:V26" si="0">$M18*9+O$17</f>
        <v>1</v>
      </c>
      <c r="P18" s="2">
        <f t="shared" si="0"/>
        <v>2</v>
      </c>
      <c r="Q18" s="2">
        <f t="shared" si="0"/>
        <v>3</v>
      </c>
      <c r="R18" s="2">
        <f t="shared" si="0"/>
        <v>4</v>
      </c>
      <c r="S18" s="2">
        <f t="shared" si="0"/>
        <v>5</v>
      </c>
      <c r="T18" s="2">
        <f t="shared" si="0"/>
        <v>6</v>
      </c>
      <c r="U18" s="2">
        <f t="shared" si="0"/>
        <v>7</v>
      </c>
      <c r="V18" s="2">
        <f t="shared" si="0"/>
        <v>8</v>
      </c>
    </row>
    <row r="19" spans="13:22" ht="22.5" customHeight="1">
      <c r="M19" s="20">
        <v>1</v>
      </c>
      <c r="N19" s="2">
        <f t="shared" ref="N19:N26" si="1">$M19*9+N$17</f>
        <v>9</v>
      </c>
      <c r="O19" s="2">
        <f t="shared" si="0"/>
        <v>10</v>
      </c>
      <c r="P19" s="2">
        <f t="shared" si="0"/>
        <v>11</v>
      </c>
      <c r="Q19" s="2">
        <f t="shared" si="0"/>
        <v>12</v>
      </c>
      <c r="R19" s="2">
        <f t="shared" si="0"/>
        <v>13</v>
      </c>
      <c r="S19" s="2">
        <f t="shared" si="0"/>
        <v>14</v>
      </c>
      <c r="T19" s="2">
        <f t="shared" si="0"/>
        <v>15</v>
      </c>
      <c r="U19" s="2">
        <f t="shared" si="0"/>
        <v>16</v>
      </c>
      <c r="V19" s="2">
        <f t="shared" si="0"/>
        <v>17</v>
      </c>
    </row>
    <row r="20" spans="13:22" ht="22.5" customHeight="1">
      <c r="M20" s="20">
        <v>2</v>
      </c>
      <c r="N20" s="2">
        <f t="shared" si="1"/>
        <v>18</v>
      </c>
      <c r="O20" s="2">
        <f t="shared" si="0"/>
        <v>19</v>
      </c>
      <c r="P20" s="2">
        <f t="shared" si="0"/>
        <v>20</v>
      </c>
      <c r="Q20" s="2">
        <f t="shared" si="0"/>
        <v>21</v>
      </c>
      <c r="R20" s="2">
        <f t="shared" si="0"/>
        <v>22</v>
      </c>
      <c r="S20" s="2">
        <f t="shared" si="0"/>
        <v>23</v>
      </c>
      <c r="T20" s="2">
        <f t="shared" si="0"/>
        <v>24</v>
      </c>
      <c r="U20" s="2">
        <f t="shared" si="0"/>
        <v>25</v>
      </c>
      <c r="V20" s="2">
        <f t="shared" si="0"/>
        <v>26</v>
      </c>
    </row>
    <row r="21" spans="13:22" ht="22.5" customHeight="1">
      <c r="M21" s="20">
        <v>3</v>
      </c>
      <c r="N21" s="2">
        <f t="shared" si="1"/>
        <v>27</v>
      </c>
      <c r="O21" s="2">
        <f t="shared" si="0"/>
        <v>28</v>
      </c>
      <c r="P21" s="2">
        <f t="shared" si="0"/>
        <v>29</v>
      </c>
      <c r="Q21" s="2">
        <f t="shared" si="0"/>
        <v>30</v>
      </c>
      <c r="R21" s="2">
        <f t="shared" si="0"/>
        <v>31</v>
      </c>
      <c r="S21" s="2">
        <f t="shared" si="0"/>
        <v>32</v>
      </c>
      <c r="T21" s="2">
        <f t="shared" si="0"/>
        <v>33</v>
      </c>
      <c r="U21" s="2">
        <f t="shared" si="0"/>
        <v>34</v>
      </c>
      <c r="V21" s="2">
        <f t="shared" si="0"/>
        <v>35</v>
      </c>
    </row>
    <row r="22" spans="13:22" ht="22.5" customHeight="1">
      <c r="M22" s="20">
        <v>4</v>
      </c>
      <c r="N22" s="2">
        <f t="shared" si="1"/>
        <v>36</v>
      </c>
      <c r="O22" s="2">
        <f t="shared" si="0"/>
        <v>37</v>
      </c>
      <c r="P22" s="2">
        <f t="shared" si="0"/>
        <v>38</v>
      </c>
      <c r="Q22" s="2">
        <f t="shared" si="0"/>
        <v>39</v>
      </c>
      <c r="R22" s="2">
        <f t="shared" si="0"/>
        <v>40</v>
      </c>
      <c r="S22" s="2">
        <f t="shared" si="0"/>
        <v>41</v>
      </c>
      <c r="T22" s="2">
        <f t="shared" si="0"/>
        <v>42</v>
      </c>
      <c r="U22" s="2">
        <f t="shared" si="0"/>
        <v>43</v>
      </c>
      <c r="V22" s="2">
        <f t="shared" si="0"/>
        <v>44</v>
      </c>
    </row>
    <row r="23" spans="13:22" ht="22.5" customHeight="1">
      <c r="M23" s="20">
        <v>5</v>
      </c>
      <c r="N23" s="2">
        <f t="shared" si="1"/>
        <v>45</v>
      </c>
      <c r="O23" s="2">
        <f t="shared" si="0"/>
        <v>46</v>
      </c>
      <c r="P23" s="2">
        <f t="shared" si="0"/>
        <v>47</v>
      </c>
      <c r="Q23" s="2">
        <f t="shared" si="0"/>
        <v>48</v>
      </c>
      <c r="R23" s="2">
        <f t="shared" si="0"/>
        <v>49</v>
      </c>
      <c r="S23" s="2">
        <f t="shared" si="0"/>
        <v>50</v>
      </c>
      <c r="T23" s="2">
        <f t="shared" si="0"/>
        <v>51</v>
      </c>
      <c r="U23" s="2">
        <f t="shared" si="0"/>
        <v>52</v>
      </c>
      <c r="V23" s="2">
        <f t="shared" si="0"/>
        <v>53</v>
      </c>
    </row>
    <row r="24" spans="13:22" ht="22.5" customHeight="1">
      <c r="M24" s="20">
        <v>6</v>
      </c>
      <c r="N24" s="2">
        <f t="shared" si="1"/>
        <v>54</v>
      </c>
      <c r="O24" s="2">
        <f t="shared" si="0"/>
        <v>55</v>
      </c>
      <c r="P24" s="2">
        <f t="shared" si="0"/>
        <v>56</v>
      </c>
      <c r="Q24" s="2">
        <f t="shared" si="0"/>
        <v>57</v>
      </c>
      <c r="R24" s="2">
        <f t="shared" si="0"/>
        <v>58</v>
      </c>
      <c r="S24" s="2">
        <f t="shared" si="0"/>
        <v>59</v>
      </c>
      <c r="T24" s="2">
        <f t="shared" si="0"/>
        <v>60</v>
      </c>
      <c r="U24" s="2">
        <f t="shared" si="0"/>
        <v>61</v>
      </c>
      <c r="V24" s="2">
        <f t="shared" si="0"/>
        <v>62</v>
      </c>
    </row>
    <row r="25" spans="13:22" ht="22.5" customHeight="1">
      <c r="M25" s="20">
        <v>7</v>
      </c>
      <c r="N25" s="2">
        <f t="shared" si="1"/>
        <v>63</v>
      </c>
      <c r="O25" s="2">
        <f t="shared" si="0"/>
        <v>64</v>
      </c>
      <c r="P25" s="2">
        <f t="shared" si="0"/>
        <v>65</v>
      </c>
      <c r="Q25" s="2">
        <f t="shared" si="0"/>
        <v>66</v>
      </c>
      <c r="R25" s="2">
        <f t="shared" si="0"/>
        <v>67</v>
      </c>
      <c r="S25" s="2">
        <f t="shared" si="0"/>
        <v>68</v>
      </c>
      <c r="T25" s="2">
        <f t="shared" si="0"/>
        <v>69</v>
      </c>
      <c r="U25" s="2">
        <f t="shared" si="0"/>
        <v>70</v>
      </c>
      <c r="V25" s="2">
        <f t="shared" si="0"/>
        <v>71</v>
      </c>
    </row>
    <row r="26" spans="13:22" ht="22.5" customHeight="1">
      <c r="M26" s="20">
        <v>8</v>
      </c>
      <c r="N26" s="2">
        <f t="shared" si="1"/>
        <v>72</v>
      </c>
      <c r="O26" s="2">
        <f t="shared" si="0"/>
        <v>73</v>
      </c>
      <c r="P26" s="2">
        <f t="shared" si="0"/>
        <v>74</v>
      </c>
      <c r="Q26" s="2">
        <f t="shared" si="0"/>
        <v>75</v>
      </c>
      <c r="R26" s="2">
        <f t="shared" si="0"/>
        <v>76</v>
      </c>
      <c r="S26" s="2">
        <f t="shared" si="0"/>
        <v>77</v>
      </c>
      <c r="T26" s="2">
        <f t="shared" si="0"/>
        <v>78</v>
      </c>
      <c r="U26" s="2">
        <f t="shared" si="0"/>
        <v>79</v>
      </c>
      <c r="V26" s="2">
        <f t="shared" si="0"/>
        <v>80</v>
      </c>
    </row>
  </sheetData>
  <mergeCells count="17">
    <mergeCell ref="N12:P14"/>
    <mergeCell ref="Q12:S14"/>
    <mergeCell ref="T12:V14"/>
    <mergeCell ref="K6:K14"/>
    <mergeCell ref="N3:V3"/>
    <mergeCell ref="L6:L8"/>
    <mergeCell ref="L9:L11"/>
    <mergeCell ref="L12:L14"/>
    <mergeCell ref="N4:P4"/>
    <mergeCell ref="Q4:S4"/>
    <mergeCell ref="T4:V4"/>
    <mergeCell ref="N6:P8"/>
    <mergeCell ref="Q6:S8"/>
    <mergeCell ref="T6:V8"/>
    <mergeCell ref="N9:P11"/>
    <mergeCell ref="Q9:S11"/>
    <mergeCell ref="T9:V11"/>
  </mergeCells>
  <phoneticPr fontId="2" type="noConversion"/>
  <hyperlinks>
    <hyperlink ref="A1" location="목차!A1" display="HOME" xr:uid="{7F79A002-DC1C-4818-91A8-8C4C96CB3803}"/>
  </hyperlink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7D4BF-6E41-4DAB-90BF-76033671650B}">
  <dimension ref="A1:T19"/>
  <sheetViews>
    <sheetView topLeftCell="A4" zoomScale="130" zoomScaleNormal="130" workbookViewId="0">
      <selection activeCell="U14" sqref="U14"/>
    </sheetView>
  </sheetViews>
  <sheetFormatPr defaultRowHeight="23.25" customHeight="1"/>
  <cols>
    <col min="1" max="1" width="6.69921875" customWidth="1"/>
    <col min="10" max="10" width="9" style="2"/>
    <col min="11" max="20" width="3.8984375" style="2" customWidth="1"/>
  </cols>
  <sheetData>
    <row r="1" spans="1:17" ht="23.25" customHeight="1" thickBot="1">
      <c r="A1" s="19" t="s">
        <v>64</v>
      </c>
    </row>
    <row r="2" spans="1:17" ht="23.25" customHeight="1">
      <c r="J2" s="2" t="s">
        <v>84</v>
      </c>
    </row>
    <row r="3" spans="1:17" ht="23.25" customHeight="1">
      <c r="J3" s="2">
        <v>5</v>
      </c>
      <c r="M3" s="102" t="s">
        <v>82</v>
      </c>
      <c r="N3" s="102"/>
      <c r="O3" s="102"/>
      <c r="P3" s="102"/>
      <c r="Q3" s="102"/>
    </row>
    <row r="4" spans="1:17" ht="23.25" customHeight="1">
      <c r="M4" s="20">
        <v>1</v>
      </c>
      <c r="N4" s="20">
        <v>2</v>
      </c>
      <c r="O4" s="20">
        <v>3</v>
      </c>
      <c r="P4" s="20">
        <v>4</v>
      </c>
      <c r="Q4" s="20">
        <v>5</v>
      </c>
    </row>
    <row r="5" spans="1:17" ht="23.25" customHeight="1">
      <c r="K5" s="102" t="s">
        <v>83</v>
      </c>
      <c r="L5" s="20">
        <v>1</v>
      </c>
      <c r="M5" s="21">
        <f>$L5+M$4-1</f>
        <v>1</v>
      </c>
      <c r="N5" s="22">
        <f t="shared" ref="N5:Q9" si="0">$L5+N$4-1</f>
        <v>2</v>
      </c>
      <c r="O5" s="21">
        <f t="shared" si="0"/>
        <v>3</v>
      </c>
      <c r="P5" s="22">
        <f t="shared" si="0"/>
        <v>4</v>
      </c>
      <c r="Q5" s="21">
        <f t="shared" si="0"/>
        <v>5</v>
      </c>
    </row>
    <row r="6" spans="1:17" ht="23.25" customHeight="1">
      <c r="K6" s="102"/>
      <c r="L6" s="20">
        <v>2</v>
      </c>
      <c r="M6" s="22">
        <f t="shared" ref="M6:M9" si="1">$L6+M$4-1</f>
        <v>2</v>
      </c>
      <c r="N6" s="21">
        <f t="shared" si="0"/>
        <v>3</v>
      </c>
      <c r="O6" s="22">
        <f t="shared" si="0"/>
        <v>4</v>
      </c>
      <c r="P6" s="21">
        <f t="shared" si="0"/>
        <v>5</v>
      </c>
      <c r="Q6" s="22">
        <f t="shared" si="0"/>
        <v>6</v>
      </c>
    </row>
    <row r="7" spans="1:17" ht="23.25" customHeight="1">
      <c r="K7" s="102"/>
      <c r="L7" s="20">
        <v>3</v>
      </c>
      <c r="M7" s="21">
        <f t="shared" si="1"/>
        <v>3</v>
      </c>
      <c r="N7" s="22">
        <f t="shared" si="0"/>
        <v>4</v>
      </c>
      <c r="O7" s="21">
        <f t="shared" si="0"/>
        <v>5</v>
      </c>
      <c r="P7" s="22">
        <f t="shared" si="0"/>
        <v>6</v>
      </c>
      <c r="Q7" s="21">
        <f t="shared" si="0"/>
        <v>7</v>
      </c>
    </row>
    <row r="8" spans="1:17" ht="23.25" customHeight="1">
      <c r="K8" s="102"/>
      <c r="L8" s="20">
        <v>4</v>
      </c>
      <c r="M8" s="22">
        <f t="shared" si="1"/>
        <v>4</v>
      </c>
      <c r="N8" s="21">
        <f t="shared" si="0"/>
        <v>5</v>
      </c>
      <c r="O8" s="22">
        <f t="shared" si="0"/>
        <v>6</v>
      </c>
      <c r="P8" s="21">
        <f t="shared" si="0"/>
        <v>7</v>
      </c>
      <c r="Q8" s="22">
        <f t="shared" si="0"/>
        <v>8</v>
      </c>
    </row>
    <row r="9" spans="1:17" ht="23.25" customHeight="1">
      <c r="K9" s="102"/>
      <c r="L9" s="20">
        <v>5</v>
      </c>
      <c r="M9" s="21">
        <f t="shared" si="1"/>
        <v>5</v>
      </c>
      <c r="N9" s="22">
        <f t="shared" si="0"/>
        <v>6</v>
      </c>
      <c r="O9" s="21">
        <f t="shared" si="0"/>
        <v>7</v>
      </c>
      <c r="P9" s="22">
        <f t="shared" si="0"/>
        <v>8</v>
      </c>
      <c r="Q9" s="21">
        <f t="shared" si="0"/>
        <v>9</v>
      </c>
    </row>
    <row r="12" spans="1:17" ht="23.25" customHeight="1">
      <c r="J12" s="2" t="s">
        <v>84</v>
      </c>
    </row>
    <row r="13" spans="1:17" ht="23.25" customHeight="1">
      <c r="J13" s="2">
        <v>5</v>
      </c>
      <c r="M13" s="102" t="s">
        <v>82</v>
      </c>
      <c r="N13" s="102"/>
      <c r="O13" s="102"/>
      <c r="P13" s="102"/>
      <c r="Q13" s="102"/>
    </row>
    <row r="14" spans="1:17" ht="23.25" customHeight="1">
      <c r="M14" s="20">
        <v>1</v>
      </c>
      <c r="N14" s="20">
        <v>2</v>
      </c>
      <c r="O14" s="20">
        <v>3</v>
      </c>
      <c r="P14" s="20">
        <v>4</v>
      </c>
      <c r="Q14" s="20">
        <v>5</v>
      </c>
    </row>
    <row r="15" spans="1:17" ht="23.25" customHeight="1">
      <c r="K15" s="102" t="s">
        <v>83</v>
      </c>
      <c r="L15" s="20">
        <v>1</v>
      </c>
      <c r="M15" s="21">
        <f>$J$13 - $L15 + M$4</f>
        <v>5</v>
      </c>
      <c r="N15" s="22">
        <f t="shared" ref="N15:Q19" si="2">$J$13 - $L15 + N$4</f>
        <v>6</v>
      </c>
      <c r="O15" s="21">
        <f t="shared" si="2"/>
        <v>7</v>
      </c>
      <c r="P15" s="22">
        <f t="shared" si="2"/>
        <v>8</v>
      </c>
      <c r="Q15" s="21">
        <f t="shared" si="2"/>
        <v>9</v>
      </c>
    </row>
    <row r="16" spans="1:17" ht="23.25" customHeight="1">
      <c r="K16" s="102"/>
      <c r="L16" s="20">
        <v>2</v>
      </c>
      <c r="M16" s="22">
        <f t="shared" ref="M16:M19" si="3">$J$13 - $L16 + M$4</f>
        <v>4</v>
      </c>
      <c r="N16" s="21">
        <f t="shared" si="2"/>
        <v>5</v>
      </c>
      <c r="O16" s="22">
        <f t="shared" si="2"/>
        <v>6</v>
      </c>
      <c r="P16" s="21">
        <f t="shared" si="2"/>
        <v>7</v>
      </c>
      <c r="Q16" s="22">
        <f t="shared" si="2"/>
        <v>8</v>
      </c>
    </row>
    <row r="17" spans="11:17" ht="23.25" customHeight="1">
      <c r="K17" s="102"/>
      <c r="L17" s="20">
        <v>3</v>
      </c>
      <c r="M17" s="21">
        <f t="shared" si="3"/>
        <v>3</v>
      </c>
      <c r="N17" s="22">
        <f t="shared" si="2"/>
        <v>4</v>
      </c>
      <c r="O17" s="21">
        <f t="shared" si="2"/>
        <v>5</v>
      </c>
      <c r="P17" s="22">
        <f t="shared" si="2"/>
        <v>6</v>
      </c>
      <c r="Q17" s="21">
        <f t="shared" si="2"/>
        <v>7</v>
      </c>
    </row>
    <row r="18" spans="11:17" ht="23.25" customHeight="1">
      <c r="K18" s="102"/>
      <c r="L18" s="20">
        <v>4</v>
      </c>
      <c r="M18" s="22">
        <f t="shared" si="3"/>
        <v>2</v>
      </c>
      <c r="N18" s="21">
        <f t="shared" si="2"/>
        <v>3</v>
      </c>
      <c r="O18" s="22">
        <f t="shared" si="2"/>
        <v>4</v>
      </c>
      <c r="P18" s="21">
        <f t="shared" si="2"/>
        <v>5</v>
      </c>
      <c r="Q18" s="22">
        <f t="shared" si="2"/>
        <v>6</v>
      </c>
    </row>
    <row r="19" spans="11:17" ht="23.25" customHeight="1">
      <c r="K19" s="102"/>
      <c r="L19" s="20">
        <v>5</v>
      </c>
      <c r="M19" s="21">
        <f t="shared" si="3"/>
        <v>1</v>
      </c>
      <c r="N19" s="22">
        <f t="shared" si="2"/>
        <v>2</v>
      </c>
      <c r="O19" s="21">
        <f t="shared" si="2"/>
        <v>3</v>
      </c>
      <c r="P19" s="22">
        <f t="shared" si="2"/>
        <v>4</v>
      </c>
      <c r="Q19" s="21">
        <f t="shared" si="2"/>
        <v>5</v>
      </c>
    </row>
  </sheetData>
  <mergeCells count="4">
    <mergeCell ref="K5:K9"/>
    <mergeCell ref="M3:Q3"/>
    <mergeCell ref="M13:Q13"/>
    <mergeCell ref="K15:K19"/>
  </mergeCells>
  <phoneticPr fontId="2" type="noConversion"/>
  <hyperlinks>
    <hyperlink ref="A1" location="목차!A1" display="HOME" xr:uid="{92B515C4-84AC-458A-BF21-A662BE1658F2}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BC360-EE26-4676-95A8-EEC730A04EB2}">
  <dimension ref="A1:Q27"/>
  <sheetViews>
    <sheetView topLeftCell="A7" zoomScale="145" zoomScaleNormal="145" workbookViewId="0">
      <selection activeCell="N38" sqref="N38"/>
    </sheetView>
  </sheetViews>
  <sheetFormatPr defaultRowHeight="17.399999999999999"/>
  <cols>
    <col min="1" max="1" width="11" style="47" customWidth="1"/>
  </cols>
  <sheetData>
    <row r="1" spans="1:17" ht="18" thickBot="1">
      <c r="A1" s="46" t="s">
        <v>64</v>
      </c>
    </row>
    <row r="2" spans="1:17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>
      <c r="N5" s="2"/>
      <c r="O5" s="2"/>
      <c r="P5" s="2"/>
      <c r="Q5" s="2"/>
    </row>
    <row r="6" spans="1:17">
      <c r="N6" s="2"/>
      <c r="O6" s="2"/>
      <c r="P6" s="2"/>
      <c r="Q6" s="2"/>
    </row>
    <row r="7" spans="1:17">
      <c r="N7" s="2"/>
      <c r="O7" s="2"/>
      <c r="P7" s="2"/>
      <c r="Q7" s="2"/>
    </row>
    <row r="8" spans="1:17">
      <c r="N8" s="2"/>
      <c r="O8" s="2"/>
      <c r="P8" s="2"/>
      <c r="Q8" s="2"/>
    </row>
    <row r="9" spans="1:17">
      <c r="N9" s="2"/>
      <c r="O9" s="2"/>
      <c r="P9" s="2"/>
      <c r="Q9" s="2"/>
    </row>
    <row r="10" spans="1:17">
      <c r="N10" s="2"/>
      <c r="O10" s="2"/>
      <c r="P10" s="2"/>
      <c r="Q10" s="2"/>
    </row>
    <row r="11" spans="1:17">
      <c r="N11" s="2"/>
      <c r="O11" s="2"/>
      <c r="P11" s="2"/>
      <c r="Q11" s="2"/>
    </row>
    <row r="12" spans="1:17">
      <c r="N12" s="2"/>
      <c r="O12" s="2"/>
      <c r="P12" s="2"/>
      <c r="Q12" s="2"/>
    </row>
    <row r="13" spans="1:17">
      <c r="N13" s="2"/>
      <c r="O13" s="2"/>
      <c r="P13" s="2"/>
      <c r="Q13" s="2"/>
    </row>
    <row r="14" spans="1:17">
      <c r="N14" s="2"/>
      <c r="O14" s="2"/>
      <c r="P14" s="2"/>
      <c r="Q14" s="2"/>
    </row>
    <row r="15" spans="1:17">
      <c r="N15" s="2"/>
      <c r="O15" s="2"/>
      <c r="P15" s="2"/>
      <c r="Q15" s="2"/>
    </row>
    <row r="16" spans="1:17">
      <c r="N16" s="2"/>
      <c r="O16" s="2"/>
      <c r="P16" s="2"/>
      <c r="Q16" s="2"/>
    </row>
    <row r="17" spans="1:17">
      <c r="N17" s="2"/>
      <c r="O17" s="2"/>
      <c r="P17" s="2"/>
      <c r="Q17" s="2"/>
    </row>
    <row r="18" spans="1:17">
      <c r="B18" s="2"/>
      <c r="C18" s="33">
        <v>0</v>
      </c>
      <c r="D18" s="33">
        <v>1</v>
      </c>
      <c r="E18" s="33">
        <v>2</v>
      </c>
      <c r="F18" s="33">
        <v>3</v>
      </c>
      <c r="G18" s="33">
        <v>4</v>
      </c>
      <c r="H18" s="33">
        <v>5</v>
      </c>
      <c r="I18" s="33">
        <v>6</v>
      </c>
      <c r="J18" s="33">
        <v>7</v>
      </c>
      <c r="K18" s="33">
        <v>8</v>
      </c>
      <c r="L18" s="33">
        <v>9</v>
      </c>
      <c r="M18" s="33">
        <v>10</v>
      </c>
      <c r="N18" s="2"/>
      <c r="O18" s="2"/>
      <c r="P18" s="2"/>
      <c r="Q18" s="2"/>
    </row>
    <row r="19" spans="1:17">
      <c r="A19" s="47" t="s">
        <v>128</v>
      </c>
      <c r="B19" s="2" t="s">
        <v>104</v>
      </c>
      <c r="C19" s="21"/>
      <c r="D19" s="21">
        <v>7</v>
      </c>
      <c r="E19" s="21">
        <v>2</v>
      </c>
      <c r="F19" s="21">
        <v>3</v>
      </c>
      <c r="G19" s="21">
        <v>8</v>
      </c>
      <c r="H19" s="21">
        <v>5</v>
      </c>
      <c r="I19" s="21">
        <v>1</v>
      </c>
      <c r="J19" s="21">
        <v>6</v>
      </c>
      <c r="K19" s="21">
        <v>4</v>
      </c>
      <c r="L19" s="21">
        <v>3</v>
      </c>
      <c r="M19" s="21">
        <v>9</v>
      </c>
      <c r="N19" s="2"/>
      <c r="O19" s="2"/>
      <c r="P19" s="2"/>
      <c r="Q19" s="2"/>
    </row>
    <row r="20" spans="1:17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B21" s="2"/>
      <c r="C21" s="33">
        <v>0</v>
      </c>
      <c r="D21" s="33">
        <v>1</v>
      </c>
      <c r="E21" s="33">
        <v>2</v>
      </c>
      <c r="F21" s="33">
        <v>3</v>
      </c>
      <c r="G21" s="33">
        <v>4</v>
      </c>
      <c r="H21" s="33">
        <v>5</v>
      </c>
      <c r="I21" s="33">
        <v>6</v>
      </c>
      <c r="J21" s="33">
        <v>7</v>
      </c>
      <c r="K21" s="33">
        <v>8</v>
      </c>
      <c r="L21" s="33">
        <v>9</v>
      </c>
      <c r="M21" s="33">
        <v>10</v>
      </c>
      <c r="N21" s="2"/>
      <c r="O21" s="2"/>
      <c r="P21" s="2"/>
      <c r="Q21" s="2"/>
    </row>
    <row r="22" spans="1:17">
      <c r="A22" s="47" t="s">
        <v>129</v>
      </c>
      <c r="B22" s="2" t="s">
        <v>119</v>
      </c>
      <c r="C22" s="21"/>
      <c r="D22" s="21">
        <f>C22+D19</f>
        <v>7</v>
      </c>
      <c r="E22" s="44">
        <f t="shared" ref="E22:M22" si="0">D22+E19</f>
        <v>9</v>
      </c>
      <c r="F22" s="21">
        <f t="shared" si="0"/>
        <v>12</v>
      </c>
      <c r="G22" s="21">
        <f t="shared" si="0"/>
        <v>20</v>
      </c>
      <c r="H22" s="45">
        <f t="shared" si="0"/>
        <v>25</v>
      </c>
      <c r="I22" s="21">
        <f t="shared" si="0"/>
        <v>26</v>
      </c>
      <c r="J22" s="21">
        <f t="shared" si="0"/>
        <v>32</v>
      </c>
      <c r="K22" s="21">
        <f t="shared" si="0"/>
        <v>36</v>
      </c>
      <c r="L22" s="21">
        <f t="shared" si="0"/>
        <v>39</v>
      </c>
      <c r="M22" s="21">
        <f t="shared" si="0"/>
        <v>48</v>
      </c>
      <c r="O22" s="2"/>
      <c r="P22" s="2"/>
      <c r="Q22" s="2"/>
    </row>
    <row r="23" spans="1:17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O23" s="2"/>
      <c r="P23" s="2"/>
      <c r="Q23" s="2"/>
    </row>
    <row r="24" spans="1:17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O24" s="2"/>
      <c r="P24" s="2"/>
      <c r="Q24" s="2"/>
    </row>
    <row r="25" spans="1:17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O25" s="2"/>
      <c r="P25" s="2"/>
      <c r="Q25" s="2"/>
    </row>
    <row r="26" spans="1:17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7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</sheetData>
  <phoneticPr fontId="2" type="noConversion"/>
  <hyperlinks>
    <hyperlink ref="A1" location="목차!A1" display="HOME" xr:uid="{93A32546-1BFE-4B77-9E03-289B8814F708}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373A5-CEB5-42CA-8917-5E0C0AEE5FFB}">
  <dimension ref="A1:AN70"/>
  <sheetViews>
    <sheetView topLeftCell="A27" zoomScale="130" zoomScaleNormal="130" workbookViewId="0">
      <selection activeCell="U44" sqref="U44"/>
    </sheetView>
  </sheetViews>
  <sheetFormatPr defaultRowHeight="17.399999999999999"/>
  <cols>
    <col min="1" max="1" width="6.69921875" customWidth="1"/>
    <col min="2" max="46" width="4.5" customWidth="1"/>
  </cols>
  <sheetData>
    <row r="1" spans="1:22" ht="18" thickBot="1">
      <c r="A1" s="19" t="s">
        <v>64</v>
      </c>
    </row>
    <row r="14" spans="1:22">
      <c r="B14" s="2"/>
      <c r="C14" s="2" t="s">
        <v>122</v>
      </c>
      <c r="D14" s="2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2:40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2:40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 spans="2:40"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 spans="2:40">
      <c r="C20" s="33">
        <v>0</v>
      </c>
      <c r="D20" s="33">
        <v>1</v>
      </c>
      <c r="E20" s="33">
        <v>2</v>
      </c>
      <c r="F20" s="33">
        <v>3</v>
      </c>
      <c r="G20" s="33">
        <v>4</v>
      </c>
      <c r="H20" s="33">
        <v>5</v>
      </c>
      <c r="I20" s="2"/>
      <c r="J20" s="33">
        <v>0</v>
      </c>
      <c r="K20" s="33">
        <v>1</v>
      </c>
      <c r="L20" s="33">
        <v>2</v>
      </c>
      <c r="M20" s="33">
        <v>3</v>
      </c>
      <c r="N20" s="33">
        <v>4</v>
      </c>
      <c r="O20" s="33">
        <v>5</v>
      </c>
      <c r="W20" s="2" t="s">
        <v>121</v>
      </c>
      <c r="X20" s="33">
        <v>0</v>
      </c>
      <c r="Y20" s="33">
        <v>1</v>
      </c>
      <c r="Z20" s="33">
        <v>2</v>
      </c>
      <c r="AA20" s="33">
        <v>3</v>
      </c>
      <c r="AB20" s="33">
        <v>4</v>
      </c>
      <c r="AC20" s="33">
        <v>5</v>
      </c>
      <c r="AD20" s="2"/>
      <c r="AE20" s="2" t="s">
        <v>120</v>
      </c>
      <c r="AF20" s="33">
        <v>0</v>
      </c>
      <c r="AG20" s="33">
        <v>1</v>
      </c>
      <c r="AH20" s="33">
        <v>2</v>
      </c>
      <c r="AI20" s="33">
        <v>3</v>
      </c>
      <c r="AJ20" s="33">
        <v>4</v>
      </c>
      <c r="AK20" s="33">
        <v>5</v>
      </c>
      <c r="AL20" s="2"/>
      <c r="AM20" s="2"/>
      <c r="AN20" s="2"/>
    </row>
    <row r="21" spans="2:40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W21" s="34">
        <v>0</v>
      </c>
      <c r="X21" s="2"/>
      <c r="Y21" s="2"/>
      <c r="Z21" s="2"/>
      <c r="AA21" s="2"/>
      <c r="AB21" s="2"/>
      <c r="AC21" s="2"/>
      <c r="AD21" s="2"/>
      <c r="AE21" s="34">
        <v>0</v>
      </c>
      <c r="AF21" s="2"/>
      <c r="AG21" s="2"/>
      <c r="AH21" s="2"/>
      <c r="AI21" s="2"/>
      <c r="AJ21" s="2"/>
      <c r="AK21" s="2"/>
      <c r="AL21" s="2"/>
      <c r="AM21" s="2"/>
      <c r="AN21" s="2"/>
    </row>
    <row r="22" spans="2:40">
      <c r="C22" s="2"/>
      <c r="D22" s="21">
        <f t="shared" ref="D22:H26" si="0">D21+D34</f>
        <v>1</v>
      </c>
      <c r="E22" s="21">
        <f t="shared" si="0"/>
        <v>2</v>
      </c>
      <c r="F22" s="21">
        <f t="shared" si="0"/>
        <v>3</v>
      </c>
      <c r="G22" s="21">
        <f t="shared" si="0"/>
        <v>4</v>
      </c>
      <c r="H22" s="21">
        <f t="shared" si="0"/>
        <v>5</v>
      </c>
      <c r="I22" s="2"/>
      <c r="J22" s="2"/>
      <c r="K22" s="21">
        <f>J22+D22</f>
        <v>1</v>
      </c>
      <c r="L22" s="21">
        <f>K22+E22</f>
        <v>3</v>
      </c>
      <c r="M22" s="21">
        <f>L22+F22</f>
        <v>6</v>
      </c>
      <c r="N22" s="21">
        <f>M22+G22</f>
        <v>10</v>
      </c>
      <c r="O22" s="21">
        <f>N22+H22</f>
        <v>15</v>
      </c>
      <c r="W22" s="34">
        <v>1</v>
      </c>
      <c r="X22" s="2"/>
      <c r="Y22" s="21">
        <v>1</v>
      </c>
      <c r="Z22" s="21">
        <v>2</v>
      </c>
      <c r="AA22" s="21">
        <v>3</v>
      </c>
      <c r="AB22" s="21">
        <v>4</v>
      </c>
      <c r="AC22" s="21">
        <v>5</v>
      </c>
      <c r="AD22" s="2"/>
      <c r="AE22" s="34">
        <v>1</v>
      </c>
      <c r="AF22" s="2"/>
      <c r="AG22" s="21">
        <v>1</v>
      </c>
      <c r="AH22" s="21">
        <v>3</v>
      </c>
      <c r="AI22" s="21">
        <v>6</v>
      </c>
      <c r="AJ22" s="21">
        <v>10</v>
      </c>
      <c r="AK22" s="21">
        <v>15</v>
      </c>
      <c r="AL22" s="2"/>
      <c r="AM22" s="2"/>
      <c r="AN22" s="2"/>
    </row>
    <row r="23" spans="2:40">
      <c r="C23" s="2"/>
      <c r="D23" s="21">
        <f t="shared" si="0"/>
        <v>7</v>
      </c>
      <c r="E23" s="21">
        <f t="shared" si="0"/>
        <v>9</v>
      </c>
      <c r="F23" s="21">
        <f t="shared" si="0"/>
        <v>11</v>
      </c>
      <c r="G23" s="21">
        <f t="shared" si="0"/>
        <v>13</v>
      </c>
      <c r="H23" s="21">
        <f t="shared" si="0"/>
        <v>5</v>
      </c>
      <c r="I23" s="2"/>
      <c r="J23" s="2"/>
      <c r="K23" s="21">
        <f t="shared" ref="K23:K26" si="1">J23+D23</f>
        <v>7</v>
      </c>
      <c r="L23" s="21">
        <f t="shared" ref="L23:O26" si="2">K23+E23</f>
        <v>16</v>
      </c>
      <c r="M23" s="21">
        <f t="shared" si="2"/>
        <v>27</v>
      </c>
      <c r="N23" s="21">
        <f t="shared" si="2"/>
        <v>40</v>
      </c>
      <c r="O23" s="21">
        <f t="shared" si="2"/>
        <v>45</v>
      </c>
      <c r="W23" s="34">
        <v>2</v>
      </c>
      <c r="X23" s="2"/>
      <c r="Y23" s="21">
        <v>6</v>
      </c>
      <c r="Z23" s="21">
        <v>7</v>
      </c>
      <c r="AA23" s="21">
        <v>8</v>
      </c>
      <c r="AB23" s="21">
        <v>9</v>
      </c>
      <c r="AC23" s="21">
        <v>0</v>
      </c>
      <c r="AD23" s="2"/>
      <c r="AE23" s="34">
        <v>2</v>
      </c>
      <c r="AF23" s="2"/>
      <c r="AG23" s="21">
        <v>7</v>
      </c>
      <c r="AH23" s="40">
        <v>16</v>
      </c>
      <c r="AI23" s="21">
        <v>27</v>
      </c>
      <c r="AJ23" s="21">
        <v>40</v>
      </c>
      <c r="AK23" s="37">
        <v>45</v>
      </c>
      <c r="AL23" s="2"/>
      <c r="AM23" s="2"/>
      <c r="AN23" s="2"/>
    </row>
    <row r="24" spans="2:40">
      <c r="C24" s="2"/>
      <c r="D24" s="21">
        <f t="shared" si="0"/>
        <v>6</v>
      </c>
      <c r="E24" s="21">
        <f t="shared" si="0"/>
        <v>11</v>
      </c>
      <c r="F24" s="21">
        <f t="shared" si="0"/>
        <v>12</v>
      </c>
      <c r="G24" s="21">
        <f t="shared" si="0"/>
        <v>14</v>
      </c>
      <c r="H24" s="21">
        <f t="shared" si="0"/>
        <v>6</v>
      </c>
      <c r="I24" s="2"/>
      <c r="J24" s="2"/>
      <c r="K24" s="21">
        <f t="shared" si="1"/>
        <v>6</v>
      </c>
      <c r="L24" s="21">
        <f t="shared" si="2"/>
        <v>17</v>
      </c>
      <c r="M24" s="21">
        <f t="shared" si="2"/>
        <v>29</v>
      </c>
      <c r="N24" s="21">
        <f t="shared" si="2"/>
        <v>43</v>
      </c>
      <c r="O24" s="21">
        <f t="shared" si="2"/>
        <v>49</v>
      </c>
      <c r="W24" s="34">
        <v>3</v>
      </c>
      <c r="X24" s="2"/>
      <c r="Y24" s="21">
        <v>-1</v>
      </c>
      <c r="Z24" s="21">
        <v>2</v>
      </c>
      <c r="AA24" s="41">
        <v>1</v>
      </c>
      <c r="AB24" s="42">
        <v>1</v>
      </c>
      <c r="AC24" s="42">
        <v>1</v>
      </c>
      <c r="AD24" s="2"/>
      <c r="AE24" s="34">
        <v>3</v>
      </c>
      <c r="AF24" s="2"/>
      <c r="AG24" s="21">
        <v>6</v>
      </c>
      <c r="AH24" s="21">
        <v>17</v>
      </c>
      <c r="AI24" s="21">
        <v>29</v>
      </c>
      <c r="AJ24" s="21">
        <v>43</v>
      </c>
      <c r="AK24" s="21">
        <v>49</v>
      </c>
      <c r="AL24" s="2"/>
      <c r="AM24" s="2"/>
      <c r="AN24" s="2"/>
    </row>
    <row r="25" spans="2:40">
      <c r="C25" s="2"/>
      <c r="D25" s="21">
        <f t="shared" si="0"/>
        <v>11</v>
      </c>
      <c r="E25" s="21">
        <f t="shared" si="0"/>
        <v>13</v>
      </c>
      <c r="F25" s="21">
        <f t="shared" si="0"/>
        <v>15</v>
      </c>
      <c r="G25" s="21">
        <f t="shared" si="0"/>
        <v>15</v>
      </c>
      <c r="H25" s="21">
        <f t="shared" si="0"/>
        <v>10</v>
      </c>
      <c r="I25" s="2"/>
      <c r="J25" s="2"/>
      <c r="K25" s="21">
        <f t="shared" si="1"/>
        <v>11</v>
      </c>
      <c r="L25" s="21">
        <f t="shared" si="2"/>
        <v>24</v>
      </c>
      <c r="M25" s="21">
        <f t="shared" si="2"/>
        <v>39</v>
      </c>
      <c r="N25" s="21">
        <f t="shared" si="2"/>
        <v>54</v>
      </c>
      <c r="O25" s="21">
        <f t="shared" si="2"/>
        <v>64</v>
      </c>
      <c r="W25" s="34">
        <v>4</v>
      </c>
      <c r="X25" s="2"/>
      <c r="Y25" s="21">
        <v>5</v>
      </c>
      <c r="Z25" s="21">
        <v>2</v>
      </c>
      <c r="AA25" s="42">
        <v>3</v>
      </c>
      <c r="AB25" s="42">
        <v>1</v>
      </c>
      <c r="AC25" s="42">
        <v>4</v>
      </c>
      <c r="AD25" s="2"/>
      <c r="AE25" s="34">
        <v>4</v>
      </c>
      <c r="AF25" s="2"/>
      <c r="AG25" s="21">
        <v>11</v>
      </c>
      <c r="AH25" s="21">
        <v>24</v>
      </c>
      <c r="AI25" s="21">
        <v>39</v>
      </c>
      <c r="AJ25" s="21">
        <v>54</v>
      </c>
      <c r="AK25" s="21">
        <v>64</v>
      </c>
      <c r="AL25" s="2"/>
      <c r="AM25" s="2"/>
      <c r="AN25" s="2"/>
    </row>
    <row r="26" spans="2:40">
      <c r="C26" s="2"/>
      <c r="D26" s="21">
        <f t="shared" si="0"/>
        <v>12</v>
      </c>
      <c r="E26" s="21">
        <f t="shared" si="0"/>
        <v>13</v>
      </c>
      <c r="F26" s="21">
        <f t="shared" si="0"/>
        <v>16</v>
      </c>
      <c r="G26" s="21">
        <f t="shared" si="0"/>
        <v>15</v>
      </c>
      <c r="H26" s="21">
        <f t="shared" si="0"/>
        <v>11</v>
      </c>
      <c r="I26" s="2"/>
      <c r="J26" s="2"/>
      <c r="K26" s="21">
        <f t="shared" si="1"/>
        <v>12</v>
      </c>
      <c r="L26" s="21">
        <f t="shared" si="2"/>
        <v>25</v>
      </c>
      <c r="M26" s="21">
        <f t="shared" si="2"/>
        <v>41</v>
      </c>
      <c r="N26" s="21">
        <f t="shared" si="2"/>
        <v>56</v>
      </c>
      <c r="O26" s="21">
        <f t="shared" si="2"/>
        <v>67</v>
      </c>
      <c r="W26" s="34">
        <v>5</v>
      </c>
      <c r="X26" s="2"/>
      <c r="Y26" s="21">
        <v>1</v>
      </c>
      <c r="Z26" s="21">
        <v>0</v>
      </c>
      <c r="AA26" s="42">
        <v>1</v>
      </c>
      <c r="AB26" s="42">
        <v>0</v>
      </c>
      <c r="AC26" s="42">
        <v>1</v>
      </c>
      <c r="AD26" s="2"/>
      <c r="AE26" s="34">
        <v>5</v>
      </c>
      <c r="AF26" s="2"/>
      <c r="AG26" s="21">
        <v>12</v>
      </c>
      <c r="AH26" s="43">
        <v>25</v>
      </c>
      <c r="AI26" s="21">
        <v>41</v>
      </c>
      <c r="AJ26" s="21">
        <v>56</v>
      </c>
      <c r="AK26" s="36">
        <v>67</v>
      </c>
      <c r="AL26" s="2"/>
      <c r="AM26" s="2"/>
      <c r="AN26" s="2"/>
    </row>
    <row r="27" spans="2:40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2:40"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2:40"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</row>
    <row r="30" spans="2:40"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 spans="2:40"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 spans="2:40">
      <c r="B32" s="2" t="s">
        <v>121</v>
      </c>
      <c r="C32" s="33">
        <v>0</v>
      </c>
      <c r="D32" s="33">
        <v>1</v>
      </c>
      <c r="E32" s="33">
        <v>2</v>
      </c>
      <c r="F32" s="33">
        <v>3</v>
      </c>
      <c r="G32" s="33">
        <v>4</v>
      </c>
      <c r="H32" s="33">
        <v>5</v>
      </c>
      <c r="I32" s="2"/>
      <c r="J32" s="2" t="s">
        <v>120</v>
      </c>
      <c r="K32" s="33">
        <v>0</v>
      </c>
      <c r="L32" s="33">
        <v>1</v>
      </c>
      <c r="M32" s="33">
        <v>2</v>
      </c>
      <c r="N32" s="33">
        <v>3</v>
      </c>
      <c r="O32" s="33">
        <v>4</v>
      </c>
      <c r="P32" s="33">
        <v>5</v>
      </c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 spans="2:40">
      <c r="B33" s="34">
        <v>0</v>
      </c>
      <c r="C33" s="2"/>
      <c r="D33" s="2"/>
      <c r="E33" s="2"/>
      <c r="F33" s="2"/>
      <c r="G33" s="2"/>
      <c r="H33" s="2"/>
      <c r="I33" s="2"/>
      <c r="J33" s="34">
        <v>0</v>
      </c>
      <c r="K33" s="2"/>
      <c r="L33" s="2"/>
      <c r="M33" s="2"/>
      <c r="N33" s="2"/>
      <c r="O33" s="2"/>
      <c r="P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</row>
    <row r="34" spans="2:40">
      <c r="B34" s="34">
        <v>1</v>
      </c>
      <c r="C34" s="2"/>
      <c r="D34" s="21">
        <v>1</v>
      </c>
      <c r="E34" s="21">
        <v>2</v>
      </c>
      <c r="F34" s="21">
        <v>3</v>
      </c>
      <c r="G34" s="21">
        <v>4</v>
      </c>
      <c r="H34" s="21">
        <v>5</v>
      </c>
      <c r="I34" s="2"/>
      <c r="J34" s="34">
        <v>1</v>
      </c>
      <c r="K34" s="2"/>
      <c r="L34" s="21">
        <f t="shared" ref="L34:P38" si="3">K34+L33-K33+D34</f>
        <v>1</v>
      </c>
      <c r="M34" s="21">
        <f t="shared" si="3"/>
        <v>3</v>
      </c>
      <c r="N34" s="21">
        <f t="shared" si="3"/>
        <v>6</v>
      </c>
      <c r="O34" s="21">
        <f t="shared" si="3"/>
        <v>10</v>
      </c>
      <c r="P34" s="21">
        <f t="shared" si="3"/>
        <v>15</v>
      </c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 spans="2:40">
      <c r="B35" s="34">
        <v>2</v>
      </c>
      <c r="C35" s="2"/>
      <c r="D35" s="21">
        <v>6</v>
      </c>
      <c r="E35" s="21">
        <v>7</v>
      </c>
      <c r="F35" s="21">
        <v>8</v>
      </c>
      <c r="G35" s="21">
        <v>9</v>
      </c>
      <c r="H35" s="21">
        <v>0</v>
      </c>
      <c r="I35" s="2"/>
      <c r="J35" s="34">
        <v>2</v>
      </c>
      <c r="K35" s="2"/>
      <c r="L35" s="21">
        <f t="shared" si="3"/>
        <v>7</v>
      </c>
      <c r="M35" s="36">
        <f t="shared" si="3"/>
        <v>16</v>
      </c>
      <c r="N35" s="37">
        <f t="shared" si="3"/>
        <v>27</v>
      </c>
      <c r="O35" s="21">
        <f t="shared" si="3"/>
        <v>40</v>
      </c>
      <c r="P35" s="21">
        <f t="shared" si="3"/>
        <v>45</v>
      </c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</row>
    <row r="36" spans="2:40">
      <c r="B36" s="34">
        <v>3</v>
      </c>
      <c r="C36" s="2"/>
      <c r="D36" s="21">
        <v>-1</v>
      </c>
      <c r="E36" s="21">
        <v>2</v>
      </c>
      <c r="F36" s="35">
        <v>1</v>
      </c>
      <c r="G36" s="21">
        <v>1</v>
      </c>
      <c r="H36" s="21">
        <v>1</v>
      </c>
      <c r="I36" s="2"/>
      <c r="J36" s="34">
        <v>3</v>
      </c>
      <c r="K36" s="2"/>
      <c r="L36" s="21">
        <f t="shared" si="3"/>
        <v>6</v>
      </c>
      <c r="M36" s="38">
        <f t="shared" si="3"/>
        <v>17</v>
      </c>
      <c r="N36" s="39">
        <f t="shared" si="3"/>
        <v>29</v>
      </c>
      <c r="O36" s="21">
        <f t="shared" si="3"/>
        <v>43</v>
      </c>
      <c r="P36" s="21">
        <f t="shared" si="3"/>
        <v>49</v>
      </c>
      <c r="W36" s="2"/>
      <c r="X36" s="2" t="s">
        <v>123</v>
      </c>
      <c r="Y36" s="2">
        <v>3</v>
      </c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</row>
    <row r="37" spans="2:40">
      <c r="B37" s="34">
        <v>4</v>
      </c>
      <c r="C37" s="2"/>
      <c r="D37" s="21">
        <v>5</v>
      </c>
      <c r="E37" s="21">
        <v>2</v>
      </c>
      <c r="F37" s="21">
        <v>3</v>
      </c>
      <c r="G37" s="21">
        <v>1</v>
      </c>
      <c r="H37" s="21">
        <v>4</v>
      </c>
      <c r="I37" s="2"/>
      <c r="J37" s="34">
        <v>4</v>
      </c>
      <c r="K37" s="2"/>
      <c r="L37" s="21">
        <f t="shared" si="3"/>
        <v>11</v>
      </c>
      <c r="M37" s="21">
        <f t="shared" si="3"/>
        <v>24</v>
      </c>
      <c r="N37" s="21">
        <f t="shared" si="3"/>
        <v>39</v>
      </c>
      <c r="O37" s="21">
        <f t="shared" si="3"/>
        <v>54</v>
      </c>
      <c r="P37" s="21">
        <f t="shared" si="3"/>
        <v>64</v>
      </c>
      <c r="W37" s="2"/>
      <c r="X37" s="2" t="s">
        <v>124</v>
      </c>
      <c r="Y37" s="2" t="s">
        <v>125</v>
      </c>
      <c r="Z37" s="2" t="s">
        <v>126</v>
      </c>
      <c r="AA37" s="2" t="s">
        <v>127</v>
      </c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</row>
    <row r="38" spans="2:40">
      <c r="B38" s="34">
        <v>5</v>
      </c>
      <c r="C38" s="2"/>
      <c r="D38" s="21">
        <v>1</v>
      </c>
      <c r="E38" s="21">
        <v>0</v>
      </c>
      <c r="F38" s="21">
        <v>1</v>
      </c>
      <c r="G38" s="21">
        <v>0</v>
      </c>
      <c r="H38" s="21">
        <v>1</v>
      </c>
      <c r="I38" s="2"/>
      <c r="J38" s="34">
        <v>5</v>
      </c>
      <c r="K38" s="2"/>
      <c r="L38" s="21">
        <f t="shared" si="3"/>
        <v>12</v>
      </c>
      <c r="M38" s="21">
        <f t="shared" si="3"/>
        <v>25</v>
      </c>
      <c r="N38" s="21">
        <f t="shared" si="3"/>
        <v>41</v>
      </c>
      <c r="O38" s="21">
        <f t="shared" si="3"/>
        <v>56</v>
      </c>
      <c r="P38" s="21">
        <f t="shared" si="3"/>
        <v>67</v>
      </c>
      <c r="W38" s="2"/>
      <c r="X38" s="2">
        <v>2</v>
      </c>
      <c r="Y38" s="2">
        <v>1</v>
      </c>
      <c r="Z38" s="2">
        <v>2</v>
      </c>
      <c r="AA38" s="2">
        <v>1</v>
      </c>
      <c r="AB38" s="2"/>
      <c r="AC38" s="2">
        <v>6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</row>
    <row r="39" spans="2:40">
      <c r="B39" s="2"/>
      <c r="C39" s="2"/>
      <c r="D39" s="2"/>
      <c r="E39" s="2"/>
      <c r="F39" s="2"/>
      <c r="G39" s="2"/>
      <c r="H39" s="2"/>
      <c r="I39" s="2"/>
      <c r="J39" s="2"/>
      <c r="R39" s="2"/>
      <c r="S39" s="2"/>
      <c r="T39" s="2"/>
      <c r="U39" s="2"/>
      <c r="V39" s="2"/>
      <c r="W39" s="2"/>
      <c r="X39" s="2">
        <v>3</v>
      </c>
      <c r="Y39" s="2">
        <v>3</v>
      </c>
      <c r="Z39" s="2">
        <v>5</v>
      </c>
      <c r="AA39" s="2">
        <v>5</v>
      </c>
      <c r="AB39" s="2"/>
      <c r="AC39" s="2">
        <f>SUM(F36:H38)</f>
        <v>13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 spans="2:40"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>
        <v>1</v>
      </c>
      <c r="Y40" s="2">
        <v>1</v>
      </c>
      <c r="Z40" s="2">
        <v>5</v>
      </c>
      <c r="AA40" s="2">
        <v>5</v>
      </c>
      <c r="AB40" s="2"/>
      <c r="AC40" s="2">
        <f>SUM(D34:H38)</f>
        <v>67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spans="2:40"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AN41" s="2"/>
    </row>
    <row r="42" spans="2:40"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2:40"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2:40"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2:40"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2:40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2:40">
      <c r="T47" s="2"/>
      <c r="U47" s="2"/>
      <c r="V47" s="2"/>
    </row>
    <row r="48" spans="2:40">
      <c r="T48" s="2"/>
      <c r="U48" s="2"/>
      <c r="V48" s="2"/>
    </row>
    <row r="49" spans="20:22">
      <c r="T49" s="2"/>
      <c r="U49" s="2"/>
      <c r="V49" s="2"/>
    </row>
    <row r="50" spans="20:22">
      <c r="T50" s="2"/>
      <c r="U50" s="2"/>
      <c r="V50" s="2"/>
    </row>
    <row r="51" spans="20:22">
      <c r="T51" s="2"/>
      <c r="U51" s="2"/>
      <c r="V51" s="2"/>
    </row>
    <row r="52" spans="20:22">
      <c r="T52" s="2"/>
      <c r="U52" s="2"/>
      <c r="V52" s="2"/>
    </row>
    <row r="53" spans="20:22">
      <c r="T53" s="2"/>
      <c r="U53" s="2"/>
      <c r="V53" s="2"/>
    </row>
    <row r="54" spans="20:22">
      <c r="T54" s="2"/>
      <c r="U54" s="2"/>
      <c r="V54" s="2"/>
    </row>
    <row r="55" spans="20:22">
      <c r="T55" s="2"/>
      <c r="U55" s="2"/>
      <c r="V55" s="2"/>
    </row>
    <row r="56" spans="20:22">
      <c r="T56" s="2"/>
      <c r="U56" s="2"/>
      <c r="V56" s="2"/>
    </row>
    <row r="57" spans="20:22">
      <c r="T57" s="2"/>
      <c r="U57" s="2"/>
      <c r="V57" s="2"/>
    </row>
    <row r="58" spans="20:22">
      <c r="T58" s="2"/>
      <c r="U58" s="2"/>
      <c r="V58" s="2"/>
    </row>
    <row r="59" spans="20:22">
      <c r="T59" s="2"/>
      <c r="U59" s="2"/>
      <c r="V59" s="2"/>
    </row>
    <row r="60" spans="20:22">
      <c r="T60" s="2"/>
      <c r="U60" s="2"/>
      <c r="V60" s="2"/>
    </row>
    <row r="61" spans="20:22">
      <c r="T61" s="2"/>
      <c r="U61" s="2"/>
      <c r="V61" s="2"/>
    </row>
    <row r="62" spans="20:22">
      <c r="T62" s="2"/>
      <c r="U62" s="2"/>
      <c r="V62" s="2"/>
    </row>
    <row r="63" spans="20:22">
      <c r="T63" s="2"/>
      <c r="U63" s="2"/>
      <c r="V63" s="2"/>
    </row>
    <row r="64" spans="20:22">
      <c r="T64" s="2"/>
      <c r="U64" s="2"/>
      <c r="V64" s="2"/>
    </row>
    <row r="65" spans="20:22">
      <c r="T65" s="2"/>
      <c r="U65" s="2"/>
      <c r="V65" s="2"/>
    </row>
    <row r="66" spans="20:22">
      <c r="T66" s="2"/>
      <c r="U66" s="2"/>
      <c r="V66" s="2"/>
    </row>
    <row r="67" spans="20:22">
      <c r="T67" s="2"/>
      <c r="U67" s="2"/>
      <c r="V67" s="2"/>
    </row>
    <row r="68" spans="20:22">
      <c r="T68" s="2"/>
      <c r="U68" s="2"/>
      <c r="V68" s="2"/>
    </row>
    <row r="69" spans="20:22">
      <c r="T69" s="2"/>
      <c r="U69" s="2"/>
      <c r="V69" s="2"/>
    </row>
    <row r="70" spans="20:22">
      <c r="T70" s="2"/>
      <c r="U70" s="2"/>
      <c r="V70" s="2"/>
    </row>
  </sheetData>
  <phoneticPr fontId="2" type="noConversion"/>
  <hyperlinks>
    <hyperlink ref="A1" location="목차!A1" display="HOME" xr:uid="{5BF0C71D-3560-4842-8038-3864E077A7EF}"/>
  </hyperlink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BF53C-340D-45A3-BE7B-44141F3919EF}">
  <dimension ref="A1:AR67"/>
  <sheetViews>
    <sheetView topLeftCell="A54" zoomScale="130" zoomScaleNormal="130" workbookViewId="0">
      <selection activeCell="AA42" sqref="AA42"/>
    </sheetView>
  </sheetViews>
  <sheetFormatPr defaultRowHeight="17.399999999999999"/>
  <cols>
    <col min="1" max="1" width="6.69921875" customWidth="1"/>
    <col min="2" max="59" width="3.19921875" customWidth="1"/>
  </cols>
  <sheetData>
    <row r="1" spans="1:44" ht="18" thickBot="1">
      <c r="A1" s="19" t="s">
        <v>64</v>
      </c>
    </row>
    <row r="2" spans="1:44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1:44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>
      <c r="B12" s="2"/>
      <c r="C12" s="111" t="s">
        <v>117</v>
      </c>
      <c r="D12" s="33">
        <v>0</v>
      </c>
      <c r="E12" s="33">
        <v>1</v>
      </c>
      <c r="F12" s="33">
        <v>2</v>
      </c>
      <c r="G12" s="33">
        <v>3</v>
      </c>
      <c r="H12" s="33">
        <v>4</v>
      </c>
      <c r="I12" s="33">
        <v>5</v>
      </c>
      <c r="J12" s="33">
        <v>6</v>
      </c>
      <c r="K12" s="33">
        <v>7</v>
      </c>
      <c r="L12" s="33">
        <v>8</v>
      </c>
      <c r="M12" s="33">
        <v>9</v>
      </c>
      <c r="N12" s="33">
        <v>10</v>
      </c>
      <c r="O12" s="33">
        <v>11</v>
      </c>
      <c r="P12" s="33">
        <v>12</v>
      </c>
      <c r="Q12" s="33">
        <v>13</v>
      </c>
      <c r="R12" s="33">
        <v>14</v>
      </c>
      <c r="S12" s="33">
        <v>15</v>
      </c>
      <c r="T12" s="33">
        <v>16</v>
      </c>
      <c r="U12" s="33">
        <v>17</v>
      </c>
      <c r="V12" s="33">
        <v>18</v>
      </c>
      <c r="W12" s="33">
        <v>19</v>
      </c>
      <c r="X12" s="33">
        <v>20</v>
      </c>
      <c r="Y12" s="33">
        <v>21</v>
      </c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spans="1:44">
      <c r="B13" s="2"/>
      <c r="C13" s="102"/>
      <c r="D13" s="2"/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spans="1:44">
      <c r="B14" s="2"/>
      <c r="C14" s="102"/>
      <c r="D14" s="2"/>
      <c r="E14" s="2"/>
      <c r="F14" s="2"/>
      <c r="G14" s="2">
        <v>5</v>
      </c>
      <c r="H14" s="2">
        <v>5</v>
      </c>
      <c r="I14" s="2">
        <v>5</v>
      </c>
      <c r="J14" s="2">
        <v>5</v>
      </c>
      <c r="K14" s="2">
        <v>5</v>
      </c>
      <c r="L14" s="2">
        <v>5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</row>
    <row r="15" spans="1:44">
      <c r="B15" s="2"/>
      <c r="C15" s="102"/>
      <c r="D15" s="2"/>
      <c r="E15" s="2"/>
      <c r="F15" s="2"/>
      <c r="G15" s="2"/>
      <c r="H15" s="2"/>
      <c r="I15" s="2"/>
      <c r="J15" s="2"/>
      <c r="K15" s="2">
        <v>3</v>
      </c>
      <c r="L15" s="2">
        <v>3</v>
      </c>
      <c r="M15" s="2">
        <v>3</v>
      </c>
      <c r="N15" s="2">
        <v>3</v>
      </c>
      <c r="O15" s="2">
        <v>3</v>
      </c>
      <c r="P15" s="2">
        <v>3</v>
      </c>
      <c r="Q15" s="2">
        <v>3</v>
      </c>
      <c r="R15" s="2">
        <v>3</v>
      </c>
      <c r="S15" s="2">
        <v>3</v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</row>
    <row r="16" spans="1:44">
      <c r="B16" s="2"/>
      <c r="C16" s="102"/>
      <c r="D16" s="2"/>
      <c r="E16" s="2"/>
      <c r="F16" s="2"/>
      <c r="G16" s="2"/>
      <c r="H16" s="2"/>
      <c r="I16" s="2"/>
      <c r="J16" s="2"/>
      <c r="K16" s="2"/>
      <c r="L16" s="2"/>
      <c r="M16" s="2">
        <v>2</v>
      </c>
      <c r="N16" s="2">
        <v>2</v>
      </c>
      <c r="O16" s="2">
        <v>2</v>
      </c>
      <c r="P16" s="2">
        <v>2</v>
      </c>
      <c r="Q16" s="2">
        <v>2</v>
      </c>
      <c r="R16" s="2">
        <v>2</v>
      </c>
      <c r="S16" s="2">
        <v>2</v>
      </c>
      <c r="T16" s="2">
        <v>2</v>
      </c>
      <c r="U16" s="2">
        <v>2</v>
      </c>
      <c r="V16" s="2">
        <v>2</v>
      </c>
      <c r="W16" s="2">
        <v>2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</row>
    <row r="17" spans="2:44">
      <c r="B17" s="2"/>
      <c r="C17" s="102"/>
      <c r="D17" s="2"/>
      <c r="E17" s="21">
        <f>SUM(E13:E16)</f>
        <v>1</v>
      </c>
      <c r="F17" s="21">
        <f t="shared" ref="F17:X17" si="0">SUM(F13:F16)</f>
        <v>1</v>
      </c>
      <c r="G17" s="21">
        <f t="shared" si="0"/>
        <v>6</v>
      </c>
      <c r="H17" s="21">
        <f t="shared" si="0"/>
        <v>6</v>
      </c>
      <c r="I17" s="21">
        <f t="shared" si="0"/>
        <v>6</v>
      </c>
      <c r="J17" s="21">
        <f t="shared" si="0"/>
        <v>6</v>
      </c>
      <c r="K17" s="21">
        <f t="shared" si="0"/>
        <v>9</v>
      </c>
      <c r="L17" s="21">
        <f t="shared" si="0"/>
        <v>9</v>
      </c>
      <c r="M17" s="21">
        <f t="shared" si="0"/>
        <v>6</v>
      </c>
      <c r="N17" s="21">
        <f t="shared" si="0"/>
        <v>6</v>
      </c>
      <c r="O17" s="21">
        <f t="shared" si="0"/>
        <v>5</v>
      </c>
      <c r="P17" s="21">
        <f t="shared" si="0"/>
        <v>5</v>
      </c>
      <c r="Q17" s="21">
        <f t="shared" si="0"/>
        <v>5</v>
      </c>
      <c r="R17" s="21">
        <f t="shared" si="0"/>
        <v>5</v>
      </c>
      <c r="S17" s="21">
        <f t="shared" si="0"/>
        <v>5</v>
      </c>
      <c r="T17" s="21">
        <f t="shared" si="0"/>
        <v>2</v>
      </c>
      <c r="U17" s="21">
        <f t="shared" si="0"/>
        <v>2</v>
      </c>
      <c r="V17" s="21">
        <f t="shared" si="0"/>
        <v>2</v>
      </c>
      <c r="W17" s="21">
        <f t="shared" si="0"/>
        <v>2</v>
      </c>
      <c r="X17" s="21">
        <f t="shared" si="0"/>
        <v>0</v>
      </c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</row>
    <row r="18" spans="2:44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</row>
    <row r="19" spans="2:44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</row>
    <row r="20" spans="2:44">
      <c r="B20" s="2"/>
      <c r="C20" s="2" t="s">
        <v>118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</row>
    <row r="21" spans="2:44">
      <c r="B21" s="2"/>
      <c r="C21" s="2"/>
      <c r="D21" s="33">
        <v>0</v>
      </c>
      <c r="E21" s="33">
        <v>1</v>
      </c>
      <c r="F21" s="33">
        <v>2</v>
      </c>
      <c r="G21" s="33">
        <v>3</v>
      </c>
      <c r="H21" s="33">
        <v>4</v>
      </c>
      <c r="I21" s="33">
        <v>5</v>
      </c>
      <c r="J21" s="33">
        <v>6</v>
      </c>
      <c r="K21" s="33">
        <v>7</v>
      </c>
      <c r="L21" s="33">
        <v>8</v>
      </c>
      <c r="M21" s="33">
        <v>9</v>
      </c>
      <c r="N21" s="33">
        <v>10</v>
      </c>
      <c r="O21" s="33">
        <v>11</v>
      </c>
      <c r="P21" s="33">
        <v>12</v>
      </c>
      <c r="Q21" s="33">
        <v>13</v>
      </c>
      <c r="R21" s="33">
        <v>14</v>
      </c>
      <c r="S21" s="33">
        <v>15</v>
      </c>
      <c r="T21" s="33">
        <v>16</v>
      </c>
      <c r="U21" s="33">
        <v>17</v>
      </c>
      <c r="V21" s="33">
        <v>18</v>
      </c>
      <c r="W21" s="33">
        <v>19</v>
      </c>
      <c r="X21" s="33">
        <v>20</v>
      </c>
      <c r="Y21" s="33">
        <v>21</v>
      </c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</row>
    <row r="22" spans="2:44">
      <c r="B22" s="2"/>
      <c r="C22" s="2" t="s">
        <v>104</v>
      </c>
      <c r="D22" s="21"/>
      <c r="E22" s="21">
        <v>1</v>
      </c>
      <c r="F22" s="21"/>
      <c r="G22" s="21">
        <v>5</v>
      </c>
      <c r="H22" s="21"/>
      <c r="I22" s="21"/>
      <c r="J22" s="21"/>
      <c r="K22" s="21">
        <v>3</v>
      </c>
      <c r="L22" s="21"/>
      <c r="M22" s="21">
        <v>-3</v>
      </c>
      <c r="N22" s="21"/>
      <c r="O22" s="21">
        <v>-1</v>
      </c>
      <c r="P22" s="21"/>
      <c r="Q22" s="21"/>
      <c r="R22" s="21"/>
      <c r="S22" s="21"/>
      <c r="T22" s="21">
        <v>-3</v>
      </c>
      <c r="U22" s="21"/>
      <c r="V22" s="21"/>
      <c r="W22" s="21"/>
      <c r="X22" s="21">
        <v>-2</v>
      </c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</row>
    <row r="23" spans="2:44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</row>
    <row r="24" spans="2:44">
      <c r="B24" s="2"/>
      <c r="C24" s="2" t="s">
        <v>119</v>
      </c>
      <c r="D24" s="21"/>
      <c r="E24" s="21">
        <f>D24+E22</f>
        <v>1</v>
      </c>
      <c r="F24" s="21">
        <f t="shared" ref="F24:X24" si="1">E24+F22</f>
        <v>1</v>
      </c>
      <c r="G24" s="21">
        <f t="shared" si="1"/>
        <v>6</v>
      </c>
      <c r="H24" s="21">
        <f t="shared" si="1"/>
        <v>6</v>
      </c>
      <c r="I24" s="21">
        <f t="shared" si="1"/>
        <v>6</v>
      </c>
      <c r="J24" s="21">
        <f t="shared" si="1"/>
        <v>6</v>
      </c>
      <c r="K24" s="21">
        <f t="shared" si="1"/>
        <v>9</v>
      </c>
      <c r="L24" s="21">
        <f t="shared" si="1"/>
        <v>9</v>
      </c>
      <c r="M24" s="21">
        <f t="shared" si="1"/>
        <v>6</v>
      </c>
      <c r="N24" s="21">
        <f t="shared" si="1"/>
        <v>6</v>
      </c>
      <c r="O24" s="21">
        <f t="shared" si="1"/>
        <v>5</v>
      </c>
      <c r="P24" s="21">
        <f t="shared" si="1"/>
        <v>5</v>
      </c>
      <c r="Q24" s="21">
        <f t="shared" si="1"/>
        <v>5</v>
      </c>
      <c r="R24" s="21">
        <f t="shared" si="1"/>
        <v>5</v>
      </c>
      <c r="S24" s="21">
        <f t="shared" si="1"/>
        <v>5</v>
      </c>
      <c r="T24" s="21">
        <f t="shared" si="1"/>
        <v>2</v>
      </c>
      <c r="U24" s="21">
        <f t="shared" si="1"/>
        <v>2</v>
      </c>
      <c r="V24" s="21">
        <f t="shared" si="1"/>
        <v>2</v>
      </c>
      <c r="W24" s="21">
        <f t="shared" si="1"/>
        <v>2</v>
      </c>
      <c r="X24" s="21">
        <f t="shared" si="1"/>
        <v>0</v>
      </c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</row>
    <row r="25" spans="2:44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 spans="2:44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</row>
    <row r="27" spans="2:44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 spans="2:44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</row>
    <row r="29" spans="2:44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</row>
    <row r="30" spans="2:44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</row>
    <row r="31" spans="2:44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 spans="2:44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</row>
    <row r="33" spans="2:44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</row>
    <row r="34" spans="2:44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</row>
    <row r="35" spans="2:44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</row>
    <row r="36" spans="2:44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</row>
    <row r="37" spans="2:44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</row>
    <row r="38" spans="2:44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</row>
    <row r="39" spans="2:44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</row>
    <row r="40" spans="2:44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</row>
    <row r="41" spans="2:44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</row>
    <row r="42" spans="2:44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</row>
    <row r="43" spans="2:44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</row>
    <row r="44" spans="2:44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</row>
    <row r="45" spans="2:44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</row>
    <row r="46" spans="2:44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</row>
    <row r="47" spans="2:44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</row>
    <row r="48" spans="2:44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</row>
    <row r="49" spans="2:44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</row>
    <row r="50" spans="2:44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</row>
    <row r="51" spans="2:44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</row>
    <row r="52" spans="2:44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</row>
    <row r="53" spans="2:44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</row>
    <row r="54" spans="2:44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</row>
    <row r="55" spans="2:44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</row>
    <row r="56" spans="2:44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</row>
    <row r="57" spans="2:44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</row>
    <row r="58" spans="2:44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</row>
    <row r="59" spans="2:44">
      <c r="B59" s="2"/>
      <c r="C59" s="2" t="s">
        <v>121</v>
      </c>
      <c r="D59" s="33">
        <v>0</v>
      </c>
      <c r="E59" s="33">
        <v>1</v>
      </c>
      <c r="F59" s="33">
        <v>2</v>
      </c>
      <c r="G59" s="33">
        <v>3</v>
      </c>
      <c r="H59" s="33">
        <v>4</v>
      </c>
      <c r="I59" s="33">
        <v>5</v>
      </c>
      <c r="J59" s="33">
        <v>6</v>
      </c>
      <c r="K59" s="2"/>
      <c r="L59" s="2"/>
      <c r="M59" s="2" t="s">
        <v>120</v>
      </c>
      <c r="N59" s="33">
        <v>0</v>
      </c>
      <c r="O59" s="33">
        <v>1</v>
      </c>
      <c r="P59" s="33">
        <v>2</v>
      </c>
      <c r="Q59" s="33">
        <v>3</v>
      </c>
      <c r="R59" s="33">
        <v>4</v>
      </c>
      <c r="S59" s="33">
        <v>5</v>
      </c>
      <c r="T59" s="33">
        <v>6</v>
      </c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</row>
    <row r="60" spans="2:44">
      <c r="B60" s="2"/>
      <c r="C60" s="34">
        <v>0</v>
      </c>
      <c r="D60" s="2"/>
      <c r="E60" s="2"/>
      <c r="F60" s="2"/>
      <c r="G60" s="2"/>
      <c r="H60" s="2"/>
      <c r="I60" s="2"/>
      <c r="J60" s="2"/>
      <c r="K60" s="2"/>
      <c r="L60" s="2"/>
      <c r="M60" s="34"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</row>
    <row r="61" spans="2:44">
      <c r="B61" s="2"/>
      <c r="C61" s="34">
        <v>1</v>
      </c>
      <c r="D61" s="2"/>
      <c r="E61" s="21"/>
      <c r="F61" s="21">
        <v>1</v>
      </c>
      <c r="G61" s="21">
        <v>4</v>
      </c>
      <c r="H61" s="21">
        <v>-4</v>
      </c>
      <c r="I61" s="21">
        <v>-1</v>
      </c>
      <c r="J61" s="2"/>
      <c r="K61" s="2"/>
      <c r="L61" s="2"/>
      <c r="M61" s="34">
        <v>1</v>
      </c>
      <c r="N61" s="2"/>
      <c r="O61" s="21">
        <f>N61+O60-N60+E61</f>
        <v>0</v>
      </c>
      <c r="P61" s="21">
        <f t="shared" ref="P61:T66" si="2">O61+P60-O60+F61</f>
        <v>1</v>
      </c>
      <c r="Q61" s="21">
        <f t="shared" si="2"/>
        <v>5</v>
      </c>
      <c r="R61" s="21">
        <f t="shared" si="2"/>
        <v>1</v>
      </c>
      <c r="S61" s="21">
        <f t="shared" si="2"/>
        <v>0</v>
      </c>
      <c r="T61" s="21">
        <f>S61+T60-S60+J61</f>
        <v>0</v>
      </c>
      <c r="V61" s="2">
        <v>0</v>
      </c>
      <c r="W61" s="2">
        <v>1</v>
      </c>
      <c r="X61" s="2">
        <v>5</v>
      </c>
      <c r="Y61" s="2">
        <v>1</v>
      </c>
      <c r="Z61" s="2">
        <v>0</v>
      </c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</row>
    <row r="62" spans="2:44">
      <c r="B62" s="2"/>
      <c r="C62" s="34">
        <v>2</v>
      </c>
      <c r="D62" s="2"/>
      <c r="E62" s="21">
        <v>2</v>
      </c>
      <c r="F62" s="21"/>
      <c r="G62" s="21"/>
      <c r="H62" s="21">
        <v>-2</v>
      </c>
      <c r="I62" s="21"/>
      <c r="J62" s="2"/>
      <c r="K62" s="2"/>
      <c r="L62" s="2"/>
      <c r="M62" s="34">
        <v>2</v>
      </c>
      <c r="N62" s="2"/>
      <c r="O62" s="21">
        <f t="shared" ref="O62:O66" si="3">N62+O61-N61+E62</f>
        <v>2</v>
      </c>
      <c r="P62" s="21">
        <f t="shared" si="2"/>
        <v>3</v>
      </c>
      <c r="Q62" s="21">
        <f t="shared" si="2"/>
        <v>7</v>
      </c>
      <c r="R62" s="21">
        <f t="shared" si="2"/>
        <v>1</v>
      </c>
      <c r="S62" s="21">
        <f t="shared" si="2"/>
        <v>0</v>
      </c>
      <c r="T62" s="21">
        <f t="shared" si="2"/>
        <v>0</v>
      </c>
      <c r="V62" s="2">
        <v>2</v>
      </c>
      <c r="W62" s="2">
        <v>3</v>
      </c>
      <c r="X62" s="2">
        <v>7</v>
      </c>
      <c r="Y62" s="2">
        <v>1</v>
      </c>
      <c r="Z62" s="2">
        <v>0</v>
      </c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</row>
    <row r="63" spans="2:44">
      <c r="B63" s="2"/>
      <c r="C63" s="34">
        <v>3</v>
      </c>
      <c r="D63" s="2"/>
      <c r="E63" s="21"/>
      <c r="F63" s="21"/>
      <c r="G63" s="21">
        <v>3</v>
      </c>
      <c r="H63" s="21"/>
      <c r="I63" s="21"/>
      <c r="J63" s="2">
        <v>-3</v>
      </c>
      <c r="K63" s="2"/>
      <c r="L63" s="2"/>
      <c r="M63" s="34">
        <v>3</v>
      </c>
      <c r="N63" s="2"/>
      <c r="O63" s="21">
        <f t="shared" si="3"/>
        <v>2</v>
      </c>
      <c r="P63" s="21">
        <f t="shared" si="2"/>
        <v>3</v>
      </c>
      <c r="Q63" s="21">
        <f t="shared" si="2"/>
        <v>10</v>
      </c>
      <c r="R63" s="21">
        <f t="shared" si="2"/>
        <v>4</v>
      </c>
      <c r="S63" s="21">
        <f t="shared" si="2"/>
        <v>3</v>
      </c>
      <c r="T63" s="21">
        <f t="shared" si="2"/>
        <v>0</v>
      </c>
      <c r="V63" s="2">
        <v>2</v>
      </c>
      <c r="W63" s="2">
        <v>3</v>
      </c>
      <c r="X63" s="2">
        <v>10</v>
      </c>
      <c r="Y63" s="2">
        <v>4</v>
      </c>
      <c r="Z63" s="2">
        <v>3</v>
      </c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</row>
    <row r="64" spans="2:44">
      <c r="B64" s="2"/>
      <c r="C64" s="34">
        <v>4</v>
      </c>
      <c r="D64" s="2"/>
      <c r="E64" s="21"/>
      <c r="F64" s="21">
        <v>-1</v>
      </c>
      <c r="G64" s="21"/>
      <c r="H64" s="21"/>
      <c r="I64" s="21">
        <v>1</v>
      </c>
      <c r="J64" s="2"/>
      <c r="K64" s="2"/>
      <c r="L64" s="2"/>
      <c r="M64" s="34">
        <v>4</v>
      </c>
      <c r="N64" s="2"/>
      <c r="O64" s="21">
        <f t="shared" si="3"/>
        <v>2</v>
      </c>
      <c r="P64" s="21">
        <f t="shared" si="2"/>
        <v>2</v>
      </c>
      <c r="Q64" s="21">
        <f t="shared" si="2"/>
        <v>9</v>
      </c>
      <c r="R64" s="21">
        <f t="shared" si="2"/>
        <v>3</v>
      </c>
      <c r="S64" s="21">
        <f t="shared" si="2"/>
        <v>3</v>
      </c>
      <c r="T64" s="21">
        <f t="shared" si="2"/>
        <v>0</v>
      </c>
      <c r="V64" s="2">
        <v>2</v>
      </c>
      <c r="W64" s="2">
        <v>2</v>
      </c>
      <c r="X64" s="2">
        <v>9</v>
      </c>
      <c r="Y64" s="2">
        <v>3</v>
      </c>
      <c r="Z64" s="2">
        <v>3</v>
      </c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</row>
    <row r="65" spans="2:44">
      <c r="B65" s="2"/>
      <c r="C65" s="34">
        <v>5</v>
      </c>
      <c r="D65" s="2"/>
      <c r="E65" s="21">
        <v>-2</v>
      </c>
      <c r="F65" s="21"/>
      <c r="G65" s="21">
        <v>-4</v>
      </c>
      <c r="H65" s="21">
        <v>6</v>
      </c>
      <c r="I65" s="21"/>
      <c r="J65" s="2"/>
      <c r="K65" s="2"/>
      <c r="L65" s="2"/>
      <c r="M65" s="34">
        <v>5</v>
      </c>
      <c r="N65" s="2"/>
      <c r="O65" s="21">
        <f t="shared" si="3"/>
        <v>0</v>
      </c>
      <c r="P65" s="21">
        <f t="shared" si="2"/>
        <v>0</v>
      </c>
      <c r="Q65" s="21">
        <f t="shared" si="2"/>
        <v>3</v>
      </c>
      <c r="R65" s="21">
        <f t="shared" si="2"/>
        <v>3</v>
      </c>
      <c r="S65" s="21">
        <f t="shared" si="2"/>
        <v>3</v>
      </c>
      <c r="T65" s="21">
        <f t="shared" si="2"/>
        <v>0</v>
      </c>
      <c r="V65" s="2">
        <v>0</v>
      </c>
      <c r="W65" s="2">
        <v>0</v>
      </c>
      <c r="X65" s="2">
        <v>3</v>
      </c>
      <c r="Y65" s="2">
        <v>3</v>
      </c>
      <c r="Z65" s="2">
        <v>3</v>
      </c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</row>
    <row r="66" spans="2:44">
      <c r="B66" s="2"/>
      <c r="C66" s="34">
        <v>6</v>
      </c>
      <c r="D66" s="2"/>
      <c r="E66" s="2"/>
      <c r="F66" s="2"/>
      <c r="G66" s="2">
        <v>-3</v>
      </c>
      <c r="H66" s="2"/>
      <c r="I66" s="2"/>
      <c r="J66" s="2">
        <v>3</v>
      </c>
      <c r="K66" s="2"/>
      <c r="L66" s="2"/>
      <c r="M66" s="34">
        <v>6</v>
      </c>
      <c r="N66" s="2"/>
      <c r="O66" s="21">
        <f t="shared" si="3"/>
        <v>0</v>
      </c>
      <c r="P66" s="21">
        <f t="shared" si="2"/>
        <v>0</v>
      </c>
      <c r="Q66" s="21">
        <f t="shared" si="2"/>
        <v>0</v>
      </c>
      <c r="R66" s="21">
        <f t="shared" si="2"/>
        <v>0</v>
      </c>
      <c r="S66" s="21">
        <f t="shared" si="2"/>
        <v>0</v>
      </c>
      <c r="T66" s="21">
        <f t="shared" si="2"/>
        <v>0</v>
      </c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</row>
    <row r="67" spans="2:44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</row>
  </sheetData>
  <mergeCells count="1">
    <mergeCell ref="C12:C17"/>
  </mergeCells>
  <phoneticPr fontId="2" type="noConversion"/>
  <hyperlinks>
    <hyperlink ref="A1" location="목차!A1" display="HOME" xr:uid="{893CDBE6-47E8-4875-A96A-B2DC7EDB8933}"/>
  </hyperlink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7377B-FA51-4D12-9D82-84CFB5C6343B}">
  <dimension ref="A1:U104"/>
  <sheetViews>
    <sheetView topLeftCell="A24" zoomScale="190" zoomScaleNormal="190" workbookViewId="0">
      <selection activeCell="S35" sqref="S35"/>
    </sheetView>
  </sheetViews>
  <sheetFormatPr defaultRowHeight="17.399999999999999"/>
  <cols>
    <col min="1" max="1" width="6.69921875" customWidth="1"/>
    <col min="2" max="34" width="4.69921875" customWidth="1"/>
  </cols>
  <sheetData>
    <row r="1" spans="1:21" ht="18" thickBot="1">
      <c r="A1" s="19" t="s">
        <v>64</v>
      </c>
    </row>
    <row r="2" spans="1:21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2:21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2:21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2:21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2:21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2:21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2:21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2:2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2:21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2:21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2:2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2:2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2:2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2:2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2:2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2:2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32" t="s">
        <v>111</v>
      </c>
      <c r="R31" s="2"/>
      <c r="S31" s="2"/>
      <c r="T31" s="2"/>
      <c r="U31" s="2"/>
    </row>
    <row r="32" spans="2:2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 t="s">
        <v>112</v>
      </c>
      <c r="R32" s="2"/>
      <c r="S32" s="2"/>
      <c r="T32" s="2"/>
      <c r="U32" s="2"/>
    </row>
    <row r="33" spans="2:21">
      <c r="B33" s="2"/>
      <c r="C33" s="2"/>
      <c r="D33" s="20">
        <v>1</v>
      </c>
      <c r="E33" s="20">
        <v>2</v>
      </c>
      <c r="F33" s="20">
        <v>3</v>
      </c>
      <c r="G33" s="20">
        <v>4</v>
      </c>
      <c r="H33" s="20">
        <v>5</v>
      </c>
      <c r="I33" s="20">
        <v>6</v>
      </c>
      <c r="J33" s="20">
        <v>7</v>
      </c>
      <c r="K33" s="20">
        <v>8</v>
      </c>
      <c r="L33" s="20">
        <v>9</v>
      </c>
      <c r="M33" s="20">
        <v>10</v>
      </c>
      <c r="N33" s="2"/>
      <c r="O33" s="2"/>
      <c r="P33" s="32" t="s">
        <v>113</v>
      </c>
      <c r="Q33" s="32" t="s">
        <v>111</v>
      </c>
      <c r="R33" s="32" t="s">
        <v>114</v>
      </c>
      <c r="S33" s="32" t="s">
        <v>115</v>
      </c>
      <c r="T33" s="2"/>
      <c r="U33" s="2"/>
    </row>
    <row r="34" spans="2:21">
      <c r="B34" s="2"/>
      <c r="C34" s="2"/>
      <c r="D34" s="26">
        <v>-99</v>
      </c>
      <c r="E34" s="26">
        <v>-78</v>
      </c>
      <c r="F34" s="26">
        <v>-31</v>
      </c>
      <c r="G34" s="26">
        <v>-7</v>
      </c>
      <c r="H34" s="26">
        <v>-2</v>
      </c>
      <c r="I34" s="26">
        <v>6</v>
      </c>
      <c r="J34" s="26">
        <v>9</v>
      </c>
      <c r="K34" s="26">
        <v>43</v>
      </c>
      <c r="L34" s="26">
        <v>68</v>
      </c>
      <c r="M34" s="26">
        <v>88</v>
      </c>
      <c r="N34" s="2"/>
      <c r="O34" s="2"/>
      <c r="P34" s="2">
        <f>-11</f>
        <v>-11</v>
      </c>
      <c r="Q34" s="2">
        <v>11</v>
      </c>
      <c r="R34" s="2">
        <v>-99</v>
      </c>
      <c r="S34" s="2">
        <v>88</v>
      </c>
      <c r="T34" s="2"/>
      <c r="U34" s="2"/>
    </row>
    <row r="35" spans="2:2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2:2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2:2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2:2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2:21">
      <c r="B39" s="2"/>
      <c r="C39" s="2"/>
      <c r="D39" s="20">
        <v>1</v>
      </c>
      <c r="E39" s="20">
        <v>2</v>
      </c>
      <c r="F39" s="20">
        <v>3</v>
      </c>
      <c r="G39" s="20">
        <v>4</v>
      </c>
      <c r="H39" s="20">
        <v>5</v>
      </c>
      <c r="I39" s="20">
        <v>6</v>
      </c>
      <c r="J39" s="20">
        <v>7</v>
      </c>
      <c r="K39" s="20">
        <v>8</v>
      </c>
      <c r="L39" s="20">
        <v>9</v>
      </c>
      <c r="M39" s="20">
        <v>10</v>
      </c>
      <c r="N39" s="2"/>
      <c r="O39" s="2"/>
      <c r="P39" s="32" t="s">
        <v>113</v>
      </c>
      <c r="Q39" s="32" t="s">
        <v>111</v>
      </c>
      <c r="R39" s="32" t="s">
        <v>114</v>
      </c>
      <c r="S39" s="32" t="s">
        <v>115</v>
      </c>
      <c r="T39" s="2"/>
      <c r="U39" s="2"/>
    </row>
    <row r="40" spans="2:21">
      <c r="B40" s="2"/>
      <c r="C40" s="2"/>
      <c r="D40" s="26"/>
      <c r="E40" s="26">
        <v>-78</v>
      </c>
      <c r="F40" s="26">
        <v>-31</v>
      </c>
      <c r="G40" s="26">
        <v>-7</v>
      </c>
      <c r="H40" s="26">
        <v>-2</v>
      </c>
      <c r="I40" s="26">
        <v>6</v>
      </c>
      <c r="J40" s="26">
        <v>9</v>
      </c>
      <c r="K40" s="26">
        <v>43</v>
      </c>
      <c r="L40" s="26">
        <v>68</v>
      </c>
      <c r="M40" s="26">
        <v>88</v>
      </c>
      <c r="N40" s="2"/>
      <c r="O40" s="2"/>
      <c r="P40" s="2">
        <v>10</v>
      </c>
      <c r="Q40" s="2">
        <v>10</v>
      </c>
      <c r="R40" s="2">
        <v>-78</v>
      </c>
      <c r="S40" s="2">
        <v>88</v>
      </c>
      <c r="T40" s="2"/>
      <c r="U40" s="2"/>
    </row>
    <row r="41" spans="2:2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2:21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2:21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2:21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2:21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2:21">
      <c r="B46" s="2"/>
      <c r="C46" s="2"/>
      <c r="D46" s="20">
        <v>1</v>
      </c>
      <c r="E46" s="20">
        <v>2</v>
      </c>
      <c r="F46" s="20">
        <v>3</v>
      </c>
      <c r="G46" s="20">
        <v>4</v>
      </c>
      <c r="H46" s="20">
        <v>5</v>
      </c>
      <c r="I46" s="20">
        <v>6</v>
      </c>
      <c r="J46" s="20">
        <v>7</v>
      </c>
      <c r="K46" s="20">
        <v>8</v>
      </c>
      <c r="L46" s="20">
        <v>9</v>
      </c>
      <c r="M46" s="20">
        <v>10</v>
      </c>
      <c r="N46" s="2"/>
      <c r="O46" s="2"/>
      <c r="P46" s="32" t="s">
        <v>113</v>
      </c>
      <c r="Q46" s="32" t="s">
        <v>111</v>
      </c>
      <c r="R46" s="32" t="s">
        <v>114</v>
      </c>
      <c r="S46" s="32" t="s">
        <v>115</v>
      </c>
      <c r="T46" s="2"/>
      <c r="U46" s="2"/>
    </row>
    <row r="47" spans="2:21">
      <c r="B47" s="2"/>
      <c r="C47" s="2"/>
      <c r="D47" s="26"/>
      <c r="E47" s="26">
        <v>-78</v>
      </c>
      <c r="F47" s="26">
        <v>-31</v>
      </c>
      <c r="G47" s="26">
        <v>-7</v>
      </c>
      <c r="H47" s="26">
        <v>-2</v>
      </c>
      <c r="I47" s="26">
        <v>6</v>
      </c>
      <c r="J47" s="26">
        <v>9</v>
      </c>
      <c r="K47" s="26">
        <v>43</v>
      </c>
      <c r="L47" s="26">
        <v>68</v>
      </c>
      <c r="M47" s="26"/>
      <c r="N47" s="2"/>
      <c r="O47" s="2"/>
      <c r="P47" s="2">
        <v>-10</v>
      </c>
      <c r="Q47" s="2">
        <v>10</v>
      </c>
      <c r="R47" s="2">
        <v>-78</v>
      </c>
      <c r="S47" s="2">
        <v>88</v>
      </c>
      <c r="T47" s="2"/>
      <c r="U47" s="2"/>
    </row>
    <row r="48" spans="2:2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2:21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2:21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2:21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2:21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2:21">
      <c r="B53" s="2"/>
      <c r="C53" s="2"/>
      <c r="D53" s="20">
        <v>1</v>
      </c>
      <c r="E53" s="20">
        <v>2</v>
      </c>
      <c r="F53" s="20">
        <v>3</v>
      </c>
      <c r="G53" s="20">
        <v>4</v>
      </c>
      <c r="H53" s="20">
        <v>5</v>
      </c>
      <c r="I53" s="20">
        <v>6</v>
      </c>
      <c r="J53" s="20">
        <v>7</v>
      </c>
      <c r="K53" s="20">
        <v>8</v>
      </c>
      <c r="L53" s="20">
        <v>9</v>
      </c>
      <c r="M53" s="20">
        <v>10</v>
      </c>
      <c r="N53" s="2"/>
      <c r="O53" s="2"/>
      <c r="P53" s="32" t="s">
        <v>113</v>
      </c>
      <c r="Q53" s="32" t="s">
        <v>111</v>
      </c>
      <c r="R53" s="32" t="s">
        <v>114</v>
      </c>
      <c r="S53" s="32" t="s">
        <v>115</v>
      </c>
      <c r="T53" s="2"/>
      <c r="U53" s="2"/>
    </row>
    <row r="54" spans="2:21">
      <c r="B54" s="2"/>
      <c r="C54" s="2"/>
      <c r="D54" s="26"/>
      <c r="E54" s="26"/>
      <c r="F54" s="26">
        <v>-31</v>
      </c>
      <c r="G54" s="26">
        <v>-7</v>
      </c>
      <c r="H54" s="26">
        <v>-2</v>
      </c>
      <c r="I54" s="26">
        <v>6</v>
      </c>
      <c r="J54" s="26">
        <v>9</v>
      </c>
      <c r="K54" s="26">
        <v>43</v>
      </c>
      <c r="L54" s="26">
        <v>68</v>
      </c>
      <c r="M54" s="26"/>
      <c r="N54" s="2"/>
      <c r="O54" s="2"/>
      <c r="P54" s="2">
        <f>68-31</f>
        <v>37</v>
      </c>
      <c r="Q54" s="2">
        <v>10</v>
      </c>
      <c r="R54" s="2">
        <v>-78</v>
      </c>
      <c r="S54" s="2">
        <v>88</v>
      </c>
      <c r="T54" s="2"/>
      <c r="U54" s="2"/>
    </row>
    <row r="55" spans="2:21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2:21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2:21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2:21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2:21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2:21">
      <c r="B60" s="2"/>
      <c r="C60" s="2"/>
      <c r="D60" s="20">
        <v>1</v>
      </c>
      <c r="E60" s="20">
        <v>2</v>
      </c>
      <c r="F60" s="20">
        <v>3</v>
      </c>
      <c r="G60" s="20">
        <v>4</v>
      </c>
      <c r="H60" s="20">
        <v>5</v>
      </c>
      <c r="I60" s="20">
        <v>6</v>
      </c>
      <c r="J60" s="20">
        <v>7</v>
      </c>
      <c r="K60" s="20">
        <v>8</v>
      </c>
      <c r="L60" s="20">
        <v>9</v>
      </c>
      <c r="M60" s="20">
        <v>10</v>
      </c>
      <c r="N60" s="2"/>
      <c r="O60" s="2"/>
      <c r="P60" s="32" t="s">
        <v>113</v>
      </c>
      <c r="Q60" s="32" t="s">
        <v>111</v>
      </c>
      <c r="R60" s="32" t="s">
        <v>114</v>
      </c>
      <c r="S60" s="32" t="s">
        <v>115</v>
      </c>
      <c r="T60" s="2"/>
      <c r="U60" s="2"/>
    </row>
    <row r="61" spans="2:21">
      <c r="B61" s="2"/>
      <c r="C61" s="2"/>
      <c r="D61" s="26"/>
      <c r="E61" s="26"/>
      <c r="F61" s="26">
        <v>-31</v>
      </c>
      <c r="G61" s="26">
        <v>-7</v>
      </c>
      <c r="H61" s="26">
        <v>-2</v>
      </c>
      <c r="I61" s="26">
        <v>6</v>
      </c>
      <c r="J61" s="26">
        <v>9</v>
      </c>
      <c r="K61" s="26">
        <v>43</v>
      </c>
      <c r="L61" s="26"/>
      <c r="M61" s="26"/>
      <c r="N61" s="2"/>
      <c r="O61" s="2"/>
      <c r="P61" s="2">
        <v>12</v>
      </c>
      <c r="Q61" s="2">
        <v>10</v>
      </c>
      <c r="R61" s="2">
        <v>-78</v>
      </c>
      <c r="S61" s="2">
        <v>88</v>
      </c>
      <c r="T61" s="2"/>
      <c r="U61" s="2"/>
    </row>
    <row r="62" spans="2:21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2:21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2:21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2:21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2:21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2:21">
      <c r="B67" s="2"/>
      <c r="C67" s="2"/>
      <c r="D67" s="20">
        <v>1</v>
      </c>
      <c r="E67" s="20">
        <v>2</v>
      </c>
      <c r="F67" s="20">
        <v>3</v>
      </c>
      <c r="G67" s="20">
        <v>4</v>
      </c>
      <c r="H67" s="20">
        <v>5</v>
      </c>
      <c r="I67" s="20">
        <v>6</v>
      </c>
      <c r="J67" s="20">
        <v>7</v>
      </c>
      <c r="K67" s="20">
        <v>8</v>
      </c>
      <c r="L67" s="20">
        <v>9</v>
      </c>
      <c r="M67" s="20">
        <v>10</v>
      </c>
      <c r="N67" s="2"/>
      <c r="O67" s="2"/>
      <c r="P67" s="32" t="s">
        <v>113</v>
      </c>
      <c r="Q67" s="32" t="s">
        <v>111</v>
      </c>
      <c r="R67" s="32" t="s">
        <v>114</v>
      </c>
      <c r="S67" s="32" t="s">
        <v>115</v>
      </c>
      <c r="T67" s="2"/>
      <c r="U67" s="2"/>
    </row>
    <row r="68" spans="2:21">
      <c r="B68" s="2"/>
      <c r="C68" s="2"/>
      <c r="D68" s="26"/>
      <c r="E68" s="26"/>
      <c r="F68" s="26">
        <v>-31</v>
      </c>
      <c r="G68" s="26">
        <v>-7</v>
      </c>
      <c r="H68" s="26">
        <v>-2</v>
      </c>
      <c r="I68" s="26">
        <v>6</v>
      </c>
      <c r="J68" s="26">
        <v>9</v>
      </c>
      <c r="K68" s="26"/>
      <c r="L68" s="26"/>
      <c r="M68" s="26"/>
      <c r="N68" s="2"/>
      <c r="O68" s="2"/>
      <c r="P68" s="2">
        <v>-22</v>
      </c>
      <c r="Q68" s="2">
        <v>10</v>
      </c>
      <c r="R68" s="2">
        <v>-78</v>
      </c>
      <c r="S68" s="2">
        <v>88</v>
      </c>
      <c r="T68" s="2"/>
      <c r="U68" s="2"/>
    </row>
    <row r="69" spans="2:21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2:21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2:21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2:21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2:21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2:21">
      <c r="B74" s="2"/>
      <c r="C74" s="2"/>
      <c r="D74" s="20">
        <v>1</v>
      </c>
      <c r="E74" s="20">
        <v>2</v>
      </c>
      <c r="F74" s="20">
        <v>3</v>
      </c>
      <c r="G74" s="20">
        <v>4</v>
      </c>
      <c r="H74" s="20">
        <v>5</v>
      </c>
      <c r="I74" s="20">
        <v>6</v>
      </c>
      <c r="J74" s="20">
        <v>7</v>
      </c>
      <c r="K74" s="20">
        <v>8</v>
      </c>
      <c r="L74" s="20">
        <v>9</v>
      </c>
      <c r="M74" s="20">
        <v>10</v>
      </c>
      <c r="N74" s="2"/>
      <c r="O74" s="2"/>
      <c r="P74" s="32" t="s">
        <v>113</v>
      </c>
      <c r="Q74" s="32" t="s">
        <v>111</v>
      </c>
      <c r="R74" s="32" t="s">
        <v>114</v>
      </c>
      <c r="S74" s="32" t="s">
        <v>115</v>
      </c>
      <c r="T74" s="2"/>
      <c r="U74" s="2"/>
    </row>
    <row r="75" spans="2:21">
      <c r="B75" s="2"/>
      <c r="C75" s="2"/>
      <c r="D75" s="26"/>
      <c r="E75" s="26"/>
      <c r="F75" s="26"/>
      <c r="G75" s="26">
        <v>-7</v>
      </c>
      <c r="H75" s="26">
        <v>-2</v>
      </c>
      <c r="I75" s="26">
        <v>6</v>
      </c>
      <c r="J75" s="26">
        <v>9</v>
      </c>
      <c r="K75" s="26"/>
      <c r="L75" s="26"/>
      <c r="M75" s="26"/>
      <c r="N75" s="2"/>
      <c r="O75" s="2"/>
      <c r="P75" s="2">
        <v>2</v>
      </c>
      <c r="Q75" s="2">
        <v>2</v>
      </c>
      <c r="R75" s="2">
        <v>-7</v>
      </c>
      <c r="S75" s="2">
        <v>9</v>
      </c>
      <c r="T75" s="2"/>
      <c r="U75" s="2"/>
    </row>
    <row r="76" spans="2:21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2:21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2:21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2:21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2:21">
      <c r="B80" s="2"/>
      <c r="C80" s="2"/>
      <c r="D80" s="20">
        <v>1</v>
      </c>
      <c r="E80" s="20">
        <v>2</v>
      </c>
      <c r="F80" s="20">
        <v>3</v>
      </c>
      <c r="G80" s="20">
        <v>4</v>
      </c>
      <c r="H80" s="20">
        <v>5</v>
      </c>
      <c r="I80" s="20">
        <v>6</v>
      </c>
      <c r="J80" s="20">
        <v>7</v>
      </c>
      <c r="K80" s="20">
        <v>8</v>
      </c>
      <c r="L80" s="20">
        <v>9</v>
      </c>
      <c r="M80" s="20">
        <v>10</v>
      </c>
      <c r="N80" s="2"/>
      <c r="O80" s="2"/>
      <c r="P80" s="32" t="s">
        <v>113</v>
      </c>
      <c r="Q80" s="32" t="s">
        <v>111</v>
      </c>
      <c r="R80" s="32" t="s">
        <v>114</v>
      </c>
      <c r="S80" s="32" t="s">
        <v>115</v>
      </c>
      <c r="T80" s="2"/>
      <c r="U80" s="2"/>
    </row>
    <row r="81" spans="2:21">
      <c r="B81" s="2"/>
      <c r="C81" s="2"/>
      <c r="D81" s="26"/>
      <c r="E81" s="26"/>
      <c r="F81" s="26"/>
      <c r="G81" s="26">
        <v>-7</v>
      </c>
      <c r="H81" s="26">
        <v>-2</v>
      </c>
      <c r="I81" s="26">
        <v>6</v>
      </c>
      <c r="J81" s="26"/>
      <c r="K81" s="26"/>
      <c r="L81" s="26"/>
      <c r="M81" s="26"/>
      <c r="N81" s="2"/>
      <c r="O81" s="2"/>
      <c r="P81" s="2">
        <v>-1</v>
      </c>
      <c r="Q81" s="2">
        <v>1</v>
      </c>
      <c r="R81" s="2">
        <v>-7</v>
      </c>
      <c r="S81" s="2">
        <v>6</v>
      </c>
      <c r="T81" s="2"/>
      <c r="U81" s="2"/>
    </row>
    <row r="82" spans="2:21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2:21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2:21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2:21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2:21">
      <c r="B86" s="2"/>
      <c r="C86" s="2"/>
      <c r="D86" s="20">
        <v>1</v>
      </c>
      <c r="E86" s="20">
        <v>2</v>
      </c>
      <c r="F86" s="20">
        <v>3</v>
      </c>
      <c r="G86" s="20">
        <v>4</v>
      </c>
      <c r="H86" s="20">
        <v>5</v>
      </c>
      <c r="I86" s="20">
        <v>6</v>
      </c>
      <c r="J86" s="20">
        <v>7</v>
      </c>
      <c r="K86" s="20">
        <v>8</v>
      </c>
      <c r="L86" s="20">
        <v>9</v>
      </c>
      <c r="M86" s="20">
        <v>10</v>
      </c>
      <c r="N86" s="2"/>
      <c r="O86" s="2"/>
      <c r="P86" s="32" t="s">
        <v>113</v>
      </c>
      <c r="Q86" s="32" t="s">
        <v>111</v>
      </c>
      <c r="R86" s="32" t="s">
        <v>114</v>
      </c>
      <c r="S86" s="32" t="s">
        <v>115</v>
      </c>
      <c r="T86" s="2"/>
      <c r="U86" s="2"/>
    </row>
    <row r="87" spans="2:21">
      <c r="B87" s="2"/>
      <c r="C87" s="2"/>
      <c r="D87" s="26"/>
      <c r="E87" s="26"/>
      <c r="F87" s="26"/>
      <c r="G87" s="26"/>
      <c r="H87" s="26">
        <v>-2</v>
      </c>
      <c r="I87" s="26">
        <v>6</v>
      </c>
      <c r="J87" s="26"/>
      <c r="K87" s="26"/>
      <c r="L87" s="26"/>
      <c r="M87" s="26"/>
      <c r="N87" s="2"/>
      <c r="O87" s="2"/>
      <c r="P87" s="2">
        <v>4</v>
      </c>
      <c r="Q87" s="2">
        <v>1</v>
      </c>
      <c r="R87" s="2">
        <v>-7</v>
      </c>
      <c r="S87" s="2">
        <v>6</v>
      </c>
      <c r="T87" s="2"/>
      <c r="U87" s="2"/>
    </row>
    <row r="88" spans="2:21">
      <c r="B88" s="2"/>
      <c r="C88" s="2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"/>
      <c r="O88" s="2"/>
      <c r="P88" s="2"/>
      <c r="Q88" s="2"/>
      <c r="R88" s="2"/>
      <c r="S88" s="2"/>
      <c r="T88" s="2"/>
      <c r="U88" s="2"/>
    </row>
    <row r="89" spans="2:21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2:21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2:2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2:21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2:21">
      <c r="B93" s="2"/>
      <c r="C93" s="2"/>
      <c r="D93" s="20">
        <v>1</v>
      </c>
      <c r="E93" s="20">
        <v>2</v>
      </c>
      <c r="F93" s="20">
        <v>3</v>
      </c>
      <c r="G93" s="20">
        <v>4</v>
      </c>
      <c r="H93" s="20">
        <v>5</v>
      </c>
      <c r="I93" s="20">
        <v>6</v>
      </c>
      <c r="J93" s="20">
        <v>7</v>
      </c>
      <c r="K93" s="20">
        <v>8</v>
      </c>
      <c r="L93" s="20">
        <v>9</v>
      </c>
      <c r="M93" s="20">
        <v>10</v>
      </c>
      <c r="N93" s="2"/>
      <c r="O93" s="2"/>
      <c r="P93" s="32" t="s">
        <v>113</v>
      </c>
      <c r="Q93" s="32" t="s">
        <v>111</v>
      </c>
      <c r="R93" s="32" t="s">
        <v>114</v>
      </c>
      <c r="S93" s="32" t="s">
        <v>115</v>
      </c>
      <c r="T93" s="2"/>
      <c r="U93" s="2"/>
    </row>
    <row r="94" spans="2:21">
      <c r="B94" s="2"/>
      <c r="C94" s="2"/>
      <c r="D94" s="26"/>
      <c r="E94" s="26"/>
      <c r="F94" s="26"/>
      <c r="G94" s="26"/>
      <c r="H94" s="26">
        <v>-2</v>
      </c>
      <c r="I94" s="26"/>
      <c r="J94" s="26"/>
      <c r="K94" s="26"/>
      <c r="L94" s="26"/>
      <c r="M94" s="26"/>
      <c r="N94" s="2"/>
      <c r="O94" s="2"/>
      <c r="P94" s="2" t="s">
        <v>116</v>
      </c>
      <c r="Q94" s="26">
        <v>1</v>
      </c>
      <c r="R94" s="26">
        <v>-7</v>
      </c>
      <c r="S94" s="26">
        <v>6</v>
      </c>
      <c r="T94" s="2"/>
      <c r="U94" s="2"/>
    </row>
    <row r="95" spans="2:21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2:21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2:21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2:21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2:21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2:21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2:2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2:21">
      <c r="B102" s="2"/>
      <c r="C102" s="2"/>
      <c r="D102" s="20">
        <v>1</v>
      </c>
      <c r="E102" s="20">
        <v>2</v>
      </c>
      <c r="F102" s="20">
        <v>3</v>
      </c>
      <c r="G102" s="20">
        <v>4</v>
      </c>
      <c r="H102" s="20">
        <v>5</v>
      </c>
      <c r="I102" s="20">
        <v>6</v>
      </c>
      <c r="J102" s="20">
        <v>7</v>
      </c>
      <c r="K102" s="20">
        <v>8</v>
      </c>
      <c r="L102" s="20">
        <v>9</v>
      </c>
      <c r="M102" s="20">
        <v>10</v>
      </c>
      <c r="N102" s="2"/>
      <c r="O102" s="2"/>
      <c r="P102" s="2"/>
      <c r="Q102" s="2"/>
      <c r="R102" s="2"/>
      <c r="S102" s="2"/>
      <c r="T102" s="2"/>
      <c r="U102" s="2"/>
    </row>
    <row r="103" spans="2:21">
      <c r="B103" s="2"/>
      <c r="C103" s="2"/>
      <c r="D103" s="26">
        <v>-2</v>
      </c>
      <c r="E103" s="26">
        <v>6</v>
      </c>
      <c r="F103" s="26">
        <v>-7</v>
      </c>
      <c r="G103" s="26">
        <v>9</v>
      </c>
      <c r="H103" s="26">
        <v>-31</v>
      </c>
      <c r="I103" s="26">
        <v>43</v>
      </c>
      <c r="J103" s="26">
        <v>68</v>
      </c>
      <c r="K103" s="26">
        <v>-78</v>
      </c>
      <c r="L103" s="26">
        <v>88</v>
      </c>
      <c r="M103" s="26">
        <v>-99</v>
      </c>
      <c r="N103" s="2"/>
      <c r="O103" s="2"/>
      <c r="P103" s="2"/>
      <c r="Q103" s="2"/>
      <c r="R103" s="2"/>
      <c r="S103" s="2"/>
      <c r="T103" s="2"/>
      <c r="U103" s="2"/>
    </row>
    <row r="104" spans="2:21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</sheetData>
  <phoneticPr fontId="2" type="noConversion"/>
  <hyperlinks>
    <hyperlink ref="A1" location="목차!A1" display="HOME" xr:uid="{2D37461C-8419-4511-A871-5BAFDFABB2AF}"/>
  </hyperlink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4846A-D528-4DB9-B8B1-3E43CD6D1B83}">
  <dimension ref="A1:P140"/>
  <sheetViews>
    <sheetView topLeftCell="A127" zoomScale="190" zoomScaleNormal="190" workbookViewId="0">
      <selection activeCell="N146" sqref="N146"/>
    </sheetView>
  </sheetViews>
  <sheetFormatPr defaultRowHeight="17.399999999999999"/>
  <cols>
    <col min="1" max="1" width="6.69921875" style="2" customWidth="1"/>
    <col min="2" max="22" width="4.5" style="2" customWidth="1"/>
    <col min="23" max="16384" width="8.796875" style="2"/>
  </cols>
  <sheetData>
    <row r="1" spans="1:1" ht="18" thickBot="1">
      <c r="A1" s="19" t="s">
        <v>64</v>
      </c>
    </row>
    <row r="29" spans="3:4">
      <c r="C29" s="2" t="s">
        <v>84</v>
      </c>
      <c r="D29" s="2" t="s">
        <v>130</v>
      </c>
    </row>
    <row r="30" spans="3:4">
      <c r="C30" s="2">
        <v>10</v>
      </c>
      <c r="D30" s="2">
        <v>15</v>
      </c>
    </row>
    <row r="34" spans="2:14">
      <c r="B34" s="20">
        <v>0</v>
      </c>
      <c r="C34" s="20">
        <v>1</v>
      </c>
      <c r="D34" s="20">
        <v>2</v>
      </c>
      <c r="E34" s="20">
        <v>3</v>
      </c>
      <c r="F34" s="20">
        <v>4</v>
      </c>
      <c r="G34" s="20">
        <v>5</v>
      </c>
      <c r="H34" s="20">
        <v>6</v>
      </c>
      <c r="I34" s="20">
        <v>7</v>
      </c>
      <c r="J34" s="20">
        <v>8</v>
      </c>
      <c r="K34" s="20">
        <v>9</v>
      </c>
      <c r="L34" s="20">
        <v>10</v>
      </c>
      <c r="N34" s="2" t="s">
        <v>113</v>
      </c>
    </row>
    <row r="35" spans="2:14">
      <c r="B35" s="2">
        <v>0</v>
      </c>
      <c r="C35" s="2">
        <v>5</v>
      </c>
      <c r="D35" s="2">
        <v>1</v>
      </c>
      <c r="E35" s="2">
        <v>3</v>
      </c>
      <c r="F35" s="2">
        <v>5</v>
      </c>
      <c r="G35" s="2">
        <v>10</v>
      </c>
      <c r="H35" s="2">
        <v>7</v>
      </c>
      <c r="I35" s="2">
        <v>4</v>
      </c>
      <c r="J35" s="2">
        <v>9</v>
      </c>
      <c r="K35" s="2">
        <v>2</v>
      </c>
      <c r="L35" s="2">
        <v>15</v>
      </c>
      <c r="N35" s="2">
        <v>0</v>
      </c>
    </row>
    <row r="39" spans="2:14">
      <c r="B39" s="20">
        <v>0</v>
      </c>
      <c r="C39" s="20">
        <v>1</v>
      </c>
      <c r="D39" s="20">
        <v>2</v>
      </c>
      <c r="E39" s="20">
        <v>3</v>
      </c>
      <c r="F39" s="20">
        <v>4</v>
      </c>
      <c r="G39" s="20">
        <v>5</v>
      </c>
      <c r="H39" s="20">
        <v>6</v>
      </c>
      <c r="I39" s="20">
        <v>7</v>
      </c>
      <c r="J39" s="20">
        <v>8</v>
      </c>
      <c r="K39" s="20">
        <v>9</v>
      </c>
      <c r="L39" s="20">
        <v>10</v>
      </c>
      <c r="N39" s="2" t="s">
        <v>113</v>
      </c>
    </row>
    <row r="40" spans="2:14">
      <c r="B40" s="2">
        <v>0</v>
      </c>
      <c r="C40" s="2">
        <v>5</v>
      </c>
      <c r="D40" s="2">
        <v>1</v>
      </c>
      <c r="E40" s="2">
        <v>3</v>
      </c>
      <c r="F40" s="2">
        <v>5</v>
      </c>
      <c r="G40" s="2">
        <v>10</v>
      </c>
      <c r="H40" s="2">
        <v>7</v>
      </c>
      <c r="I40" s="2">
        <v>4</v>
      </c>
      <c r="J40" s="2">
        <v>9</v>
      </c>
      <c r="K40" s="2">
        <v>2</v>
      </c>
      <c r="L40" s="2">
        <v>15</v>
      </c>
      <c r="N40" s="2">
        <v>5</v>
      </c>
    </row>
    <row r="44" spans="2:14">
      <c r="B44" s="20">
        <v>0</v>
      </c>
      <c r="C44" s="20">
        <v>1</v>
      </c>
      <c r="D44" s="20">
        <v>2</v>
      </c>
      <c r="E44" s="20">
        <v>3</v>
      </c>
      <c r="F44" s="20">
        <v>4</v>
      </c>
      <c r="G44" s="20">
        <v>5</v>
      </c>
      <c r="H44" s="20">
        <v>6</v>
      </c>
      <c r="I44" s="20">
        <v>7</v>
      </c>
      <c r="J44" s="20">
        <v>8</v>
      </c>
      <c r="K44" s="20">
        <v>9</v>
      </c>
      <c r="L44" s="20">
        <v>10</v>
      </c>
      <c r="N44" s="2" t="s">
        <v>113</v>
      </c>
    </row>
    <row r="45" spans="2:14">
      <c r="B45" s="2">
        <v>0</v>
      </c>
      <c r="C45" s="2">
        <v>5</v>
      </c>
      <c r="D45" s="2">
        <v>1</v>
      </c>
      <c r="E45" s="2">
        <v>3</v>
      </c>
      <c r="F45" s="2">
        <v>5</v>
      </c>
      <c r="G45" s="2">
        <v>10</v>
      </c>
      <c r="H45" s="2">
        <v>7</v>
      </c>
      <c r="I45" s="2">
        <v>4</v>
      </c>
      <c r="J45" s="2">
        <v>9</v>
      </c>
      <c r="K45" s="2">
        <v>2</v>
      </c>
      <c r="L45" s="2">
        <v>15</v>
      </c>
      <c r="N45" s="2">
        <v>6</v>
      </c>
    </row>
    <row r="49" spans="2:16">
      <c r="B49" s="20">
        <v>0</v>
      </c>
      <c r="C49" s="20">
        <v>1</v>
      </c>
      <c r="D49" s="20">
        <v>2</v>
      </c>
      <c r="E49" s="20">
        <v>3</v>
      </c>
      <c r="F49" s="20">
        <v>4</v>
      </c>
      <c r="G49" s="20">
        <v>5</v>
      </c>
      <c r="H49" s="20">
        <v>6</v>
      </c>
      <c r="I49" s="20">
        <v>7</v>
      </c>
      <c r="J49" s="20">
        <v>8</v>
      </c>
      <c r="K49" s="20">
        <v>9</v>
      </c>
      <c r="L49" s="20">
        <v>10</v>
      </c>
      <c r="N49" s="2" t="s">
        <v>113</v>
      </c>
    </row>
    <row r="50" spans="2:16">
      <c r="B50" s="2">
        <v>0</v>
      </c>
      <c r="C50" s="2">
        <v>5</v>
      </c>
      <c r="D50" s="2">
        <v>1</v>
      </c>
      <c r="E50" s="2">
        <v>3</v>
      </c>
      <c r="F50" s="2">
        <v>5</v>
      </c>
      <c r="G50" s="2">
        <v>10</v>
      </c>
      <c r="H50" s="2">
        <v>7</v>
      </c>
      <c r="I50" s="2">
        <v>4</v>
      </c>
      <c r="J50" s="2">
        <v>9</v>
      </c>
      <c r="K50" s="2">
        <v>2</v>
      </c>
      <c r="L50" s="2">
        <v>15</v>
      </c>
      <c r="N50" s="2">
        <v>9</v>
      </c>
    </row>
    <row r="54" spans="2:16">
      <c r="B54" s="20">
        <v>0</v>
      </c>
      <c r="C54" s="20">
        <v>1</v>
      </c>
      <c r="D54" s="20">
        <v>2</v>
      </c>
      <c r="E54" s="20">
        <v>3</v>
      </c>
      <c r="F54" s="20">
        <v>4</v>
      </c>
      <c r="G54" s="20">
        <v>5</v>
      </c>
      <c r="H54" s="20">
        <v>6</v>
      </c>
      <c r="I54" s="20">
        <v>7</v>
      </c>
      <c r="J54" s="20">
        <v>8</v>
      </c>
      <c r="K54" s="20">
        <v>9</v>
      </c>
      <c r="L54" s="20">
        <v>10</v>
      </c>
      <c r="N54" s="2" t="s">
        <v>113</v>
      </c>
    </row>
    <row r="55" spans="2:16">
      <c r="B55" s="2">
        <v>0</v>
      </c>
      <c r="C55" s="2">
        <v>5</v>
      </c>
      <c r="D55" s="2">
        <v>1</v>
      </c>
      <c r="E55" s="2">
        <v>3</v>
      </c>
      <c r="F55" s="2">
        <v>5</v>
      </c>
      <c r="G55" s="2">
        <v>10</v>
      </c>
      <c r="H55" s="2">
        <v>7</v>
      </c>
      <c r="I55" s="2">
        <v>4</v>
      </c>
      <c r="J55" s="2">
        <v>9</v>
      </c>
      <c r="K55" s="2">
        <v>2</v>
      </c>
      <c r="L55" s="2">
        <v>15</v>
      </c>
      <c r="N55" s="2">
        <v>14</v>
      </c>
    </row>
    <row r="59" spans="2:16">
      <c r="B59" s="20">
        <v>0</v>
      </c>
      <c r="C59" s="20">
        <v>1</v>
      </c>
      <c r="D59" s="20">
        <v>2</v>
      </c>
      <c r="E59" s="20">
        <v>3</v>
      </c>
      <c r="F59" s="20">
        <v>4</v>
      </c>
      <c r="G59" s="20">
        <v>5</v>
      </c>
      <c r="H59" s="20">
        <v>6</v>
      </c>
      <c r="I59" s="20">
        <v>7</v>
      </c>
      <c r="J59" s="20">
        <v>8</v>
      </c>
      <c r="K59" s="20">
        <v>9</v>
      </c>
      <c r="L59" s="20">
        <v>10</v>
      </c>
      <c r="N59" s="2" t="s">
        <v>113</v>
      </c>
      <c r="P59" s="2" t="s">
        <v>111</v>
      </c>
    </row>
    <row r="60" spans="2:16">
      <c r="B60" s="2">
        <v>0</v>
      </c>
      <c r="C60" s="2">
        <v>5</v>
      </c>
      <c r="D60" s="2">
        <v>1</v>
      </c>
      <c r="E60" s="2">
        <v>3</v>
      </c>
      <c r="F60" s="2">
        <v>5</v>
      </c>
      <c r="G60" s="2">
        <v>10</v>
      </c>
      <c r="H60" s="2">
        <v>7</v>
      </c>
      <c r="I60" s="2">
        <v>4</v>
      </c>
      <c r="J60" s="2">
        <v>9</v>
      </c>
      <c r="K60" s="2">
        <v>2</v>
      </c>
      <c r="L60" s="2">
        <v>15</v>
      </c>
      <c r="N60" s="2">
        <v>24</v>
      </c>
      <c r="P60" s="2">
        <v>5</v>
      </c>
    </row>
    <row r="64" spans="2:16">
      <c r="B64" s="20">
        <v>0</v>
      </c>
      <c r="C64" s="20">
        <v>1</v>
      </c>
      <c r="D64" s="20">
        <v>2</v>
      </c>
      <c r="E64" s="20">
        <v>3</v>
      </c>
      <c r="F64" s="20">
        <v>4</v>
      </c>
      <c r="G64" s="20">
        <v>5</v>
      </c>
      <c r="H64" s="20">
        <v>6</v>
      </c>
      <c r="I64" s="20">
        <v>7</v>
      </c>
      <c r="J64" s="20">
        <v>8</v>
      </c>
      <c r="K64" s="20">
        <v>9</v>
      </c>
      <c r="L64" s="20">
        <v>10</v>
      </c>
      <c r="N64" s="2" t="s">
        <v>113</v>
      </c>
      <c r="P64" s="2" t="s">
        <v>111</v>
      </c>
    </row>
    <row r="65" spans="2:16">
      <c r="B65" s="2">
        <v>0</v>
      </c>
      <c r="C65" s="2">
        <v>5</v>
      </c>
      <c r="D65" s="2">
        <v>1</v>
      </c>
      <c r="E65" s="2">
        <v>3</v>
      </c>
      <c r="F65" s="2">
        <v>5</v>
      </c>
      <c r="G65" s="2">
        <v>10</v>
      </c>
      <c r="H65" s="2">
        <v>7</v>
      </c>
      <c r="I65" s="2">
        <v>4</v>
      </c>
      <c r="J65" s="2">
        <v>9</v>
      </c>
      <c r="K65" s="2">
        <v>2</v>
      </c>
      <c r="L65" s="2">
        <v>15</v>
      </c>
      <c r="N65" s="2">
        <v>19</v>
      </c>
      <c r="P65" s="2">
        <v>4</v>
      </c>
    </row>
    <row r="69" spans="2:16">
      <c r="B69" s="20">
        <v>0</v>
      </c>
      <c r="C69" s="20">
        <v>1</v>
      </c>
      <c r="D69" s="20">
        <v>2</v>
      </c>
      <c r="E69" s="20">
        <v>3</v>
      </c>
      <c r="F69" s="20">
        <v>4</v>
      </c>
      <c r="G69" s="20">
        <v>5</v>
      </c>
      <c r="H69" s="20">
        <v>6</v>
      </c>
      <c r="I69" s="20">
        <v>7</v>
      </c>
      <c r="J69" s="20">
        <v>8</v>
      </c>
      <c r="K69" s="20">
        <v>9</v>
      </c>
      <c r="L69" s="20">
        <v>10</v>
      </c>
      <c r="N69" s="2" t="s">
        <v>113</v>
      </c>
      <c r="P69" s="2" t="s">
        <v>111</v>
      </c>
    </row>
    <row r="70" spans="2:16">
      <c r="B70" s="2">
        <v>0</v>
      </c>
      <c r="C70" s="2">
        <v>5</v>
      </c>
      <c r="D70" s="2">
        <v>1</v>
      </c>
      <c r="E70" s="2">
        <v>3</v>
      </c>
      <c r="F70" s="2">
        <v>5</v>
      </c>
      <c r="G70" s="2">
        <v>10</v>
      </c>
      <c r="H70" s="2">
        <v>7</v>
      </c>
      <c r="I70" s="2">
        <v>4</v>
      </c>
      <c r="J70" s="2">
        <v>9</v>
      </c>
      <c r="K70" s="2">
        <v>2</v>
      </c>
      <c r="L70" s="2">
        <v>15</v>
      </c>
      <c r="N70" s="2">
        <v>18</v>
      </c>
      <c r="P70" s="2">
        <v>3</v>
      </c>
    </row>
    <row r="74" spans="2:16">
      <c r="B74" s="20">
        <v>0</v>
      </c>
      <c r="C74" s="20">
        <v>1</v>
      </c>
      <c r="D74" s="20">
        <v>2</v>
      </c>
      <c r="E74" s="20">
        <v>3</v>
      </c>
      <c r="F74" s="20">
        <v>4</v>
      </c>
      <c r="G74" s="20">
        <v>5</v>
      </c>
      <c r="H74" s="20">
        <v>6</v>
      </c>
      <c r="I74" s="20">
        <v>7</v>
      </c>
      <c r="J74" s="20">
        <v>8</v>
      </c>
      <c r="K74" s="20">
        <v>9</v>
      </c>
      <c r="L74" s="20">
        <v>10</v>
      </c>
      <c r="N74" s="2" t="s">
        <v>113</v>
      </c>
      <c r="P74" s="2" t="s">
        <v>111</v>
      </c>
    </row>
    <row r="75" spans="2:16">
      <c r="B75" s="2">
        <v>0</v>
      </c>
      <c r="C75" s="2">
        <v>5</v>
      </c>
      <c r="D75" s="2">
        <v>1</v>
      </c>
      <c r="E75" s="2">
        <v>3</v>
      </c>
      <c r="F75" s="2">
        <v>5</v>
      </c>
      <c r="G75" s="2">
        <v>10</v>
      </c>
      <c r="H75" s="2">
        <v>7</v>
      </c>
      <c r="I75" s="2">
        <v>4</v>
      </c>
      <c r="J75" s="2">
        <v>9</v>
      </c>
      <c r="K75" s="2">
        <v>2</v>
      </c>
      <c r="L75" s="2">
        <v>15</v>
      </c>
      <c r="N75" s="2">
        <v>15</v>
      </c>
      <c r="P75" s="2">
        <v>2</v>
      </c>
    </row>
    <row r="79" spans="2:16">
      <c r="B79" s="20">
        <v>0</v>
      </c>
      <c r="C79" s="20">
        <v>1</v>
      </c>
      <c r="D79" s="20">
        <v>2</v>
      </c>
      <c r="E79" s="20">
        <v>3</v>
      </c>
      <c r="F79" s="20">
        <v>4</v>
      </c>
      <c r="G79" s="20">
        <v>5</v>
      </c>
      <c r="H79" s="20">
        <v>6</v>
      </c>
      <c r="I79" s="20">
        <v>7</v>
      </c>
      <c r="J79" s="20">
        <v>8</v>
      </c>
      <c r="K79" s="20">
        <v>9</v>
      </c>
      <c r="L79" s="20">
        <v>10</v>
      </c>
      <c r="N79" s="2" t="s">
        <v>113</v>
      </c>
      <c r="P79" s="2" t="s">
        <v>111</v>
      </c>
    </row>
    <row r="80" spans="2:16">
      <c r="B80" s="2">
        <v>0</v>
      </c>
      <c r="C80" s="2">
        <v>5</v>
      </c>
      <c r="D80" s="2">
        <v>1</v>
      </c>
      <c r="E80" s="2">
        <v>3</v>
      </c>
      <c r="F80" s="2">
        <v>5</v>
      </c>
      <c r="G80" s="2">
        <v>10</v>
      </c>
      <c r="H80" s="2">
        <v>7</v>
      </c>
      <c r="I80" s="2">
        <v>4</v>
      </c>
      <c r="J80" s="2">
        <v>9</v>
      </c>
      <c r="K80" s="2">
        <v>2</v>
      </c>
      <c r="L80" s="2">
        <v>15</v>
      </c>
      <c r="N80" s="2">
        <v>10</v>
      </c>
      <c r="P80" s="2">
        <v>2</v>
      </c>
    </row>
    <row r="84" spans="2:16">
      <c r="B84" s="20">
        <v>0</v>
      </c>
      <c r="C84" s="20">
        <v>1</v>
      </c>
      <c r="D84" s="20">
        <v>2</v>
      </c>
      <c r="E84" s="20">
        <v>3</v>
      </c>
      <c r="F84" s="20">
        <v>4</v>
      </c>
      <c r="G84" s="20">
        <v>5</v>
      </c>
      <c r="H84" s="20">
        <v>6</v>
      </c>
      <c r="I84" s="20">
        <v>7</v>
      </c>
      <c r="J84" s="20">
        <v>8</v>
      </c>
      <c r="K84" s="20">
        <v>9</v>
      </c>
      <c r="L84" s="20">
        <v>10</v>
      </c>
      <c r="N84" s="2" t="s">
        <v>113</v>
      </c>
      <c r="P84" s="2" t="s">
        <v>111</v>
      </c>
    </row>
    <row r="85" spans="2:16">
      <c r="B85" s="2">
        <v>0</v>
      </c>
      <c r="C85" s="2">
        <v>5</v>
      </c>
      <c r="D85" s="2">
        <v>1</v>
      </c>
      <c r="E85" s="2">
        <v>3</v>
      </c>
      <c r="F85" s="2">
        <v>5</v>
      </c>
      <c r="G85" s="2">
        <v>10</v>
      </c>
      <c r="H85" s="2">
        <v>7</v>
      </c>
      <c r="I85" s="2">
        <v>4</v>
      </c>
      <c r="J85" s="2">
        <v>9</v>
      </c>
      <c r="K85" s="2">
        <v>2</v>
      </c>
      <c r="L85" s="2">
        <v>15</v>
      </c>
      <c r="N85" s="2">
        <v>17</v>
      </c>
      <c r="P85" s="2">
        <v>2</v>
      </c>
    </row>
    <row r="89" spans="2:16">
      <c r="B89" s="20">
        <v>0</v>
      </c>
      <c r="C89" s="20">
        <v>1</v>
      </c>
      <c r="D89" s="20">
        <v>2</v>
      </c>
      <c r="E89" s="20">
        <v>3</v>
      </c>
      <c r="F89" s="20">
        <v>4</v>
      </c>
      <c r="G89" s="20">
        <v>5</v>
      </c>
      <c r="H89" s="20">
        <v>6</v>
      </c>
      <c r="I89" s="20">
        <v>7</v>
      </c>
      <c r="J89" s="20">
        <v>8</v>
      </c>
      <c r="K89" s="20">
        <v>9</v>
      </c>
      <c r="L89" s="20">
        <v>10</v>
      </c>
      <c r="N89" s="2" t="s">
        <v>113</v>
      </c>
      <c r="P89" s="2" t="s">
        <v>111</v>
      </c>
    </row>
    <row r="90" spans="2:16">
      <c r="B90" s="2">
        <v>0</v>
      </c>
      <c r="C90" s="2">
        <v>5</v>
      </c>
      <c r="D90" s="2">
        <v>1</v>
      </c>
      <c r="E90" s="2">
        <v>3</v>
      </c>
      <c r="F90" s="2">
        <v>5</v>
      </c>
      <c r="G90" s="2">
        <v>10</v>
      </c>
      <c r="H90" s="2">
        <v>7</v>
      </c>
      <c r="I90" s="2">
        <v>4</v>
      </c>
      <c r="J90" s="2">
        <v>9</v>
      </c>
      <c r="K90" s="2">
        <v>2</v>
      </c>
      <c r="L90" s="2">
        <v>15</v>
      </c>
      <c r="N90" s="2">
        <v>7</v>
      </c>
      <c r="P90" s="2">
        <v>2</v>
      </c>
    </row>
    <row r="94" spans="2:16">
      <c r="B94" s="20">
        <v>0</v>
      </c>
      <c r="C94" s="20">
        <v>1</v>
      </c>
      <c r="D94" s="20">
        <v>2</v>
      </c>
      <c r="E94" s="20">
        <v>3</v>
      </c>
      <c r="F94" s="20">
        <v>4</v>
      </c>
      <c r="G94" s="20">
        <v>5</v>
      </c>
      <c r="H94" s="20">
        <v>6</v>
      </c>
      <c r="I94" s="20">
        <v>7</v>
      </c>
      <c r="J94" s="20">
        <v>8</v>
      </c>
      <c r="K94" s="20">
        <v>9</v>
      </c>
      <c r="L94" s="20">
        <v>10</v>
      </c>
      <c r="N94" s="2" t="s">
        <v>113</v>
      </c>
      <c r="P94" s="2" t="s">
        <v>111</v>
      </c>
    </row>
    <row r="95" spans="2:16">
      <c r="B95" s="2">
        <v>0</v>
      </c>
      <c r="C95" s="2">
        <v>5</v>
      </c>
      <c r="D95" s="2">
        <v>1</v>
      </c>
      <c r="E95" s="2">
        <v>3</v>
      </c>
      <c r="F95" s="2">
        <v>5</v>
      </c>
      <c r="G95" s="2">
        <v>10</v>
      </c>
      <c r="H95" s="2">
        <v>7</v>
      </c>
      <c r="I95" s="2">
        <v>4</v>
      </c>
      <c r="J95" s="2">
        <v>9</v>
      </c>
      <c r="K95" s="2">
        <v>2</v>
      </c>
      <c r="L95" s="2">
        <v>15</v>
      </c>
      <c r="N95" s="2">
        <v>11</v>
      </c>
      <c r="P95" s="2">
        <v>2</v>
      </c>
    </row>
    <row r="99" spans="2:16">
      <c r="B99" s="20">
        <v>0</v>
      </c>
      <c r="C99" s="20">
        <v>1</v>
      </c>
      <c r="D99" s="20">
        <v>2</v>
      </c>
      <c r="E99" s="20">
        <v>3</v>
      </c>
      <c r="F99" s="20">
        <v>4</v>
      </c>
      <c r="G99" s="20">
        <v>5</v>
      </c>
      <c r="H99" s="20">
        <v>6</v>
      </c>
      <c r="I99" s="20">
        <v>7</v>
      </c>
      <c r="J99" s="20">
        <v>8</v>
      </c>
      <c r="K99" s="20">
        <v>9</v>
      </c>
      <c r="L99" s="20">
        <v>10</v>
      </c>
      <c r="N99" s="2" t="s">
        <v>113</v>
      </c>
      <c r="P99" s="2" t="s">
        <v>111</v>
      </c>
    </row>
    <row r="100" spans="2:16">
      <c r="B100" s="2">
        <v>0</v>
      </c>
      <c r="C100" s="2">
        <v>5</v>
      </c>
      <c r="D100" s="2">
        <v>1</v>
      </c>
      <c r="E100" s="2">
        <v>3</v>
      </c>
      <c r="F100" s="2">
        <v>5</v>
      </c>
      <c r="G100" s="2">
        <v>10</v>
      </c>
      <c r="H100" s="2">
        <v>7</v>
      </c>
      <c r="I100" s="2">
        <v>4</v>
      </c>
      <c r="J100" s="2">
        <v>9</v>
      </c>
      <c r="K100" s="2">
        <v>2</v>
      </c>
      <c r="L100" s="2">
        <v>15</v>
      </c>
      <c r="N100" s="2">
        <v>20</v>
      </c>
      <c r="P100" s="2">
        <v>2</v>
      </c>
    </row>
    <row r="104" spans="2:16">
      <c r="B104" s="20">
        <v>0</v>
      </c>
      <c r="C104" s="20">
        <v>1</v>
      </c>
      <c r="D104" s="20">
        <v>2</v>
      </c>
      <c r="E104" s="20">
        <v>3</v>
      </c>
      <c r="F104" s="20">
        <v>4</v>
      </c>
      <c r="G104" s="20">
        <v>5</v>
      </c>
      <c r="H104" s="20">
        <v>6</v>
      </c>
      <c r="I104" s="20">
        <v>7</v>
      </c>
      <c r="J104" s="20">
        <v>8</v>
      </c>
      <c r="K104" s="20">
        <v>9</v>
      </c>
      <c r="L104" s="20">
        <v>10</v>
      </c>
      <c r="N104" s="2" t="s">
        <v>113</v>
      </c>
      <c r="P104" s="2" t="s">
        <v>111</v>
      </c>
    </row>
    <row r="105" spans="2:16">
      <c r="B105" s="2">
        <v>0</v>
      </c>
      <c r="C105" s="2">
        <v>5</v>
      </c>
      <c r="D105" s="2">
        <v>1</v>
      </c>
      <c r="E105" s="2">
        <v>3</v>
      </c>
      <c r="F105" s="2">
        <v>5</v>
      </c>
      <c r="G105" s="2">
        <v>10</v>
      </c>
      <c r="H105" s="2">
        <v>7</v>
      </c>
      <c r="I105" s="2">
        <v>4</v>
      </c>
      <c r="J105" s="2">
        <v>9</v>
      </c>
      <c r="K105" s="2">
        <v>2</v>
      </c>
      <c r="L105" s="2">
        <v>15</v>
      </c>
      <c r="N105" s="2">
        <v>13</v>
      </c>
      <c r="P105" s="2">
        <v>2</v>
      </c>
    </row>
    <row r="109" spans="2:16">
      <c r="B109" s="20">
        <v>0</v>
      </c>
      <c r="C109" s="20">
        <v>1</v>
      </c>
      <c r="D109" s="20">
        <v>2</v>
      </c>
      <c r="E109" s="20">
        <v>3</v>
      </c>
      <c r="F109" s="20">
        <v>4</v>
      </c>
      <c r="G109" s="20">
        <v>5</v>
      </c>
      <c r="H109" s="20">
        <v>6</v>
      </c>
      <c r="I109" s="20">
        <v>7</v>
      </c>
      <c r="J109" s="20">
        <v>8</v>
      </c>
      <c r="K109" s="20">
        <v>9</v>
      </c>
      <c r="L109" s="20">
        <v>10</v>
      </c>
      <c r="N109" s="2" t="s">
        <v>113</v>
      </c>
      <c r="P109" s="2" t="s">
        <v>111</v>
      </c>
    </row>
    <row r="110" spans="2:16">
      <c r="B110" s="2">
        <v>0</v>
      </c>
      <c r="C110" s="2">
        <v>5</v>
      </c>
      <c r="D110" s="2">
        <v>1</v>
      </c>
      <c r="E110" s="2">
        <v>3</v>
      </c>
      <c r="F110" s="2">
        <v>5</v>
      </c>
      <c r="G110" s="2">
        <v>10</v>
      </c>
      <c r="H110" s="2">
        <v>7</v>
      </c>
      <c r="I110" s="2">
        <v>4</v>
      </c>
      <c r="J110" s="2">
        <v>9</v>
      </c>
      <c r="K110" s="2">
        <v>2</v>
      </c>
      <c r="L110" s="2">
        <v>15</v>
      </c>
      <c r="N110" s="2">
        <v>15</v>
      </c>
      <c r="P110" s="2">
        <v>2</v>
      </c>
    </row>
    <row r="114" spans="2:16">
      <c r="B114" s="20">
        <v>0</v>
      </c>
      <c r="C114" s="20">
        <v>1</v>
      </c>
      <c r="D114" s="20">
        <v>2</v>
      </c>
      <c r="E114" s="20">
        <v>3</v>
      </c>
      <c r="F114" s="20">
        <v>4</v>
      </c>
      <c r="G114" s="20">
        <v>5</v>
      </c>
      <c r="H114" s="20">
        <v>6</v>
      </c>
      <c r="I114" s="20">
        <v>7</v>
      </c>
      <c r="J114" s="20">
        <v>8</v>
      </c>
      <c r="K114" s="20">
        <v>9</v>
      </c>
      <c r="L114" s="20">
        <v>10</v>
      </c>
      <c r="N114" s="2" t="s">
        <v>113</v>
      </c>
      <c r="P114" s="2" t="s">
        <v>111</v>
      </c>
    </row>
    <row r="115" spans="2:16">
      <c r="B115" s="2">
        <v>0</v>
      </c>
      <c r="C115" s="2">
        <v>5</v>
      </c>
      <c r="D115" s="2">
        <v>1</v>
      </c>
      <c r="E115" s="2">
        <v>3</v>
      </c>
      <c r="F115" s="2">
        <v>5</v>
      </c>
      <c r="G115" s="2">
        <v>10</v>
      </c>
      <c r="H115" s="2">
        <v>7</v>
      </c>
      <c r="I115" s="2">
        <v>4</v>
      </c>
      <c r="J115" s="2">
        <v>9</v>
      </c>
      <c r="K115" s="2">
        <v>2</v>
      </c>
      <c r="L115" s="2">
        <v>15</v>
      </c>
      <c r="N115" s="2">
        <v>11</v>
      </c>
      <c r="P115" s="2">
        <v>2</v>
      </c>
    </row>
    <row r="119" spans="2:16">
      <c r="B119" s="20">
        <v>0</v>
      </c>
      <c r="C119" s="20">
        <v>1</v>
      </c>
      <c r="D119" s="20">
        <v>2</v>
      </c>
      <c r="E119" s="20">
        <v>3</v>
      </c>
      <c r="F119" s="20">
        <v>4</v>
      </c>
      <c r="G119" s="20">
        <v>5</v>
      </c>
      <c r="H119" s="20">
        <v>6</v>
      </c>
      <c r="I119" s="20">
        <v>7</v>
      </c>
      <c r="J119" s="20">
        <v>8</v>
      </c>
      <c r="K119" s="20">
        <v>9</v>
      </c>
      <c r="L119" s="20">
        <v>10</v>
      </c>
      <c r="N119" s="2" t="s">
        <v>113</v>
      </c>
      <c r="P119" s="2" t="s">
        <v>111</v>
      </c>
    </row>
    <row r="120" spans="2:16">
      <c r="B120" s="2">
        <v>0</v>
      </c>
      <c r="C120" s="2">
        <v>5</v>
      </c>
      <c r="D120" s="2">
        <v>1</v>
      </c>
      <c r="E120" s="2">
        <v>3</v>
      </c>
      <c r="F120" s="2">
        <v>5</v>
      </c>
      <c r="G120" s="2">
        <v>10</v>
      </c>
      <c r="H120" s="2">
        <v>7</v>
      </c>
      <c r="I120" s="2">
        <v>4</v>
      </c>
      <c r="J120" s="2">
        <v>9</v>
      </c>
      <c r="K120" s="2">
        <v>2</v>
      </c>
      <c r="L120" s="2">
        <v>15</v>
      </c>
      <c r="N120" s="2">
        <v>26</v>
      </c>
      <c r="P120" s="2">
        <v>2</v>
      </c>
    </row>
    <row r="124" spans="2:16">
      <c r="B124" s="20">
        <v>0</v>
      </c>
      <c r="C124" s="20">
        <v>1</v>
      </c>
      <c r="D124" s="20">
        <v>2</v>
      </c>
      <c r="E124" s="20">
        <v>3</v>
      </c>
      <c r="F124" s="20">
        <v>4</v>
      </c>
      <c r="G124" s="20">
        <v>5</v>
      </c>
      <c r="H124" s="20">
        <v>6</v>
      </c>
      <c r="I124" s="20">
        <v>7</v>
      </c>
      <c r="J124" s="20">
        <v>8</v>
      </c>
      <c r="K124" s="20">
        <v>9</v>
      </c>
      <c r="L124" s="20">
        <v>10</v>
      </c>
      <c r="N124" s="2" t="s">
        <v>113</v>
      </c>
      <c r="P124" s="2" t="s">
        <v>111</v>
      </c>
    </row>
    <row r="125" spans="2:16">
      <c r="B125" s="2">
        <v>0</v>
      </c>
      <c r="C125" s="2">
        <v>5</v>
      </c>
      <c r="D125" s="2">
        <v>1</v>
      </c>
      <c r="E125" s="2">
        <v>3</v>
      </c>
      <c r="F125" s="2">
        <v>5</v>
      </c>
      <c r="G125" s="2">
        <v>10</v>
      </c>
      <c r="H125" s="2">
        <v>7</v>
      </c>
      <c r="I125" s="2">
        <v>4</v>
      </c>
      <c r="J125" s="2">
        <v>9</v>
      </c>
      <c r="K125" s="2">
        <v>2</v>
      </c>
      <c r="L125" s="2">
        <v>15</v>
      </c>
      <c r="N125" s="2">
        <v>17</v>
      </c>
      <c r="P125" s="2">
        <v>2</v>
      </c>
    </row>
    <row r="129" spans="2:16">
      <c r="B129" s="20">
        <v>0</v>
      </c>
      <c r="C129" s="20">
        <v>1</v>
      </c>
      <c r="D129" s="20">
        <v>2</v>
      </c>
      <c r="E129" s="20">
        <v>3</v>
      </c>
      <c r="F129" s="20">
        <v>4</v>
      </c>
      <c r="G129" s="20">
        <v>5</v>
      </c>
      <c r="H129" s="20">
        <v>6</v>
      </c>
      <c r="I129" s="20">
        <v>7</v>
      </c>
      <c r="J129" s="20">
        <v>8</v>
      </c>
      <c r="K129" s="20">
        <v>9</v>
      </c>
      <c r="L129" s="20">
        <v>10</v>
      </c>
      <c r="N129" s="2" t="s">
        <v>113</v>
      </c>
      <c r="P129" s="2" t="s">
        <v>111</v>
      </c>
    </row>
    <row r="130" spans="2:16">
      <c r="B130" s="2">
        <v>0</v>
      </c>
      <c r="C130" s="2">
        <v>5</v>
      </c>
      <c r="D130" s="2">
        <v>1</v>
      </c>
      <c r="E130" s="2">
        <v>3</v>
      </c>
      <c r="F130" s="2">
        <v>5</v>
      </c>
      <c r="G130" s="2">
        <v>10</v>
      </c>
      <c r="H130" s="2">
        <v>7</v>
      </c>
      <c r="I130" s="2">
        <v>4</v>
      </c>
      <c r="J130" s="2">
        <v>9</v>
      </c>
      <c r="K130" s="2">
        <v>2</v>
      </c>
      <c r="L130" s="2">
        <v>15</v>
      </c>
      <c r="N130" s="2">
        <v>15</v>
      </c>
      <c r="P130" s="2">
        <v>1</v>
      </c>
    </row>
    <row r="134" spans="2:16">
      <c r="B134" s="20">
        <v>0</v>
      </c>
      <c r="C134" s="20">
        <v>1</v>
      </c>
      <c r="D134" s="20">
        <v>2</v>
      </c>
      <c r="E134" s="20">
        <v>3</v>
      </c>
      <c r="F134" s="20">
        <v>4</v>
      </c>
      <c r="G134" s="20">
        <v>5</v>
      </c>
      <c r="H134" s="20">
        <v>6</v>
      </c>
      <c r="I134" s="20">
        <v>7</v>
      </c>
      <c r="J134" s="20">
        <v>8</v>
      </c>
      <c r="K134" s="20">
        <v>9</v>
      </c>
      <c r="L134" s="20">
        <v>10</v>
      </c>
      <c r="N134" s="2" t="s">
        <v>113</v>
      </c>
      <c r="P134" s="2" t="s">
        <v>111</v>
      </c>
    </row>
    <row r="135" spans="2:16">
      <c r="B135" s="2">
        <v>0</v>
      </c>
      <c r="C135" s="2">
        <v>5</v>
      </c>
      <c r="D135" s="2">
        <v>1</v>
      </c>
      <c r="E135" s="2">
        <v>3</v>
      </c>
      <c r="F135" s="2">
        <v>5</v>
      </c>
      <c r="G135" s="2">
        <v>10</v>
      </c>
      <c r="H135" s="2">
        <v>7</v>
      </c>
      <c r="I135" s="2">
        <v>4</v>
      </c>
      <c r="J135" s="2">
        <v>9</v>
      </c>
      <c r="K135" s="2">
        <v>2</v>
      </c>
      <c r="L135" s="2">
        <v>15</v>
      </c>
      <c r="N135" s="2">
        <v>0</v>
      </c>
      <c r="P135" s="2">
        <v>1</v>
      </c>
    </row>
    <row r="139" spans="2:16">
      <c r="B139" s="20">
        <v>0</v>
      </c>
      <c r="C139" s="20">
        <v>1</v>
      </c>
      <c r="D139" s="20">
        <v>2</v>
      </c>
      <c r="E139" s="20">
        <v>3</v>
      </c>
      <c r="F139" s="20">
        <v>4</v>
      </c>
      <c r="G139" s="20">
        <v>5</v>
      </c>
      <c r="H139" s="20">
        <v>6</v>
      </c>
      <c r="I139" s="20">
        <v>7</v>
      </c>
      <c r="J139" s="20">
        <v>8</v>
      </c>
      <c r="K139" s="20">
        <v>9</v>
      </c>
      <c r="L139" s="20">
        <v>10</v>
      </c>
      <c r="N139" s="2" t="s">
        <v>113</v>
      </c>
      <c r="P139" s="2" t="s">
        <v>111</v>
      </c>
    </row>
    <row r="140" spans="2:16">
      <c r="B140" s="2">
        <v>0</v>
      </c>
      <c r="C140" s="2">
        <v>5</v>
      </c>
      <c r="D140" s="2">
        <v>1</v>
      </c>
      <c r="E140" s="2">
        <v>3</v>
      </c>
      <c r="F140" s="2">
        <v>5</v>
      </c>
      <c r="G140" s="2">
        <v>10</v>
      </c>
      <c r="H140" s="2">
        <v>7</v>
      </c>
      <c r="I140" s="2">
        <v>4</v>
      </c>
      <c r="J140" s="2">
        <v>9</v>
      </c>
      <c r="K140" s="2">
        <v>2</v>
      </c>
      <c r="L140" s="2">
        <v>15</v>
      </c>
      <c r="N140" s="2">
        <v>0</v>
      </c>
      <c r="P140" s="2">
        <v>1</v>
      </c>
    </row>
  </sheetData>
  <phoneticPr fontId="2" type="noConversion"/>
  <hyperlinks>
    <hyperlink ref="A1" location="목차!A1" display="HOME" xr:uid="{68E4FAE6-4EBA-4F62-B2A5-2660D0A82A5C}"/>
  </hyperlink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1A621-B079-4250-BB81-157D30FA48CD}">
  <dimension ref="A1:C2"/>
  <sheetViews>
    <sheetView workbookViewId="0">
      <selection activeCell="H28" sqref="H28"/>
    </sheetView>
  </sheetViews>
  <sheetFormatPr defaultRowHeight="17.399999999999999"/>
  <cols>
    <col min="1" max="1" width="6.69921875" customWidth="1"/>
  </cols>
  <sheetData>
    <row r="1" spans="1:3" ht="18" thickBot="1">
      <c r="A1" s="19" t="s">
        <v>64</v>
      </c>
    </row>
    <row r="2" spans="1:3">
      <c r="C2" t="s">
        <v>110</v>
      </c>
    </row>
  </sheetData>
  <phoneticPr fontId="2" type="noConversion"/>
  <hyperlinks>
    <hyperlink ref="A1" location="목차!A1" display="HOME" xr:uid="{9F1ADF48-F102-41B8-B25D-5C238187F995}"/>
  </hyperlink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2DB3D-CD40-4DDE-9E74-3A30F5743C1E}">
  <dimension ref="A1:C2"/>
  <sheetViews>
    <sheetView workbookViewId="0">
      <selection activeCell="J22" sqref="J22"/>
    </sheetView>
  </sheetViews>
  <sheetFormatPr defaultRowHeight="17.399999999999999"/>
  <cols>
    <col min="1" max="1" width="6.69921875" customWidth="1"/>
  </cols>
  <sheetData>
    <row r="1" spans="1:3" ht="18" thickBot="1">
      <c r="A1" s="19" t="s">
        <v>64</v>
      </c>
    </row>
    <row r="2" spans="1:3">
      <c r="C2" t="s">
        <v>110</v>
      </c>
    </row>
  </sheetData>
  <phoneticPr fontId="2" type="noConversion"/>
  <hyperlinks>
    <hyperlink ref="A1" location="목차!A1" display="HOME" xr:uid="{CA90AED1-5CFA-4D4F-834E-22ABD88AC67A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05A6C-B538-41EE-AD57-59F00F5F87F5}">
  <dimension ref="A1:C2"/>
  <sheetViews>
    <sheetView workbookViewId="0">
      <selection activeCell="P25" sqref="P25"/>
    </sheetView>
  </sheetViews>
  <sheetFormatPr defaultRowHeight="17.399999999999999"/>
  <cols>
    <col min="1" max="1" width="6.69921875" customWidth="1"/>
  </cols>
  <sheetData>
    <row r="1" spans="1:3" ht="18" thickBot="1">
      <c r="A1" s="19" t="s">
        <v>64</v>
      </c>
    </row>
    <row r="2" spans="1:3">
      <c r="C2" t="s">
        <v>110</v>
      </c>
    </row>
  </sheetData>
  <phoneticPr fontId="2" type="noConversion"/>
  <hyperlinks>
    <hyperlink ref="A1" location="목차!A1" display="HOME" xr:uid="{4CDC374B-5768-40C1-ADE7-B51B00ACE699}"/>
  </hyperlink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AEB35-CCD7-4E7B-9BF1-8122887F9209}">
  <dimension ref="A1:C2"/>
  <sheetViews>
    <sheetView workbookViewId="0">
      <selection activeCell="P25" sqref="P25"/>
    </sheetView>
  </sheetViews>
  <sheetFormatPr defaultRowHeight="17.399999999999999"/>
  <cols>
    <col min="1" max="1" width="6.69921875" customWidth="1"/>
  </cols>
  <sheetData>
    <row r="1" spans="1:3" ht="18" thickBot="1">
      <c r="A1" s="19" t="s">
        <v>64</v>
      </c>
    </row>
    <row r="2" spans="1:3">
      <c r="C2" t="s">
        <v>109</v>
      </c>
    </row>
  </sheetData>
  <phoneticPr fontId="2" type="noConversion"/>
  <hyperlinks>
    <hyperlink ref="A1" location="목차!A1" display="HOME" xr:uid="{0954FA82-09AA-41EF-A59F-060F3366A16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4B1A0-8B48-47AE-9935-3CDEA4EE7402}">
  <dimension ref="A1:AS29"/>
  <sheetViews>
    <sheetView zoomScale="145" zoomScaleNormal="145" workbookViewId="0">
      <selection activeCell="H13" sqref="H13"/>
    </sheetView>
  </sheetViews>
  <sheetFormatPr defaultRowHeight="17.399999999999999"/>
  <cols>
    <col min="1" max="1" width="6.69921875" customWidth="1"/>
    <col min="2" max="2" width="5.59765625" bestFit="1" customWidth="1"/>
    <col min="3" max="3" width="20.59765625" customWidth="1"/>
    <col min="4" max="8" width="4.19921875" customWidth="1"/>
    <col min="9" max="10" width="6.09765625" customWidth="1"/>
    <col min="11" max="46" width="3.8984375" customWidth="1"/>
  </cols>
  <sheetData>
    <row r="1" spans="1:45" ht="18" thickBot="1">
      <c r="A1" s="19" t="s">
        <v>64</v>
      </c>
    </row>
    <row r="2" spans="1:45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>
      <c r="B3" s="2" t="s">
        <v>101</v>
      </c>
      <c r="C3" s="2" t="s">
        <v>102</v>
      </c>
      <c r="D3" s="29">
        <v>0</v>
      </c>
      <c r="E3" s="29">
        <v>1</v>
      </c>
      <c r="F3" s="29">
        <v>2</v>
      </c>
      <c r="G3" s="29">
        <v>3</v>
      </c>
      <c r="H3" s="29">
        <v>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spans="1:45">
      <c r="B4" s="2"/>
      <c r="C4" s="2" t="s">
        <v>103</v>
      </c>
      <c r="D4" s="30">
        <v>2</v>
      </c>
      <c r="E4" s="30">
        <v>1</v>
      </c>
      <c r="F4" s="30">
        <v>5</v>
      </c>
      <c r="G4" s="30">
        <v>3</v>
      </c>
      <c r="H4" s="30">
        <v>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spans="1:4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spans="1:45">
      <c r="B6" s="2" t="s">
        <v>131</v>
      </c>
      <c r="C6" s="2" t="s">
        <v>103</v>
      </c>
      <c r="D6" s="30">
        <v>1</v>
      </c>
      <c r="E6" s="30">
        <v>2</v>
      </c>
      <c r="F6" s="30">
        <v>3</v>
      </c>
      <c r="G6" s="30">
        <v>4</v>
      </c>
      <c r="H6" s="30">
        <v>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5">
      <c r="B7" s="2"/>
      <c r="C7" s="2" t="s">
        <v>102</v>
      </c>
      <c r="D7" s="2">
        <v>0</v>
      </c>
      <c r="E7" s="2">
        <v>1</v>
      </c>
      <c r="F7" s="2">
        <v>2</v>
      </c>
      <c r="G7" s="2">
        <v>3</v>
      </c>
      <c r="H7" s="2">
        <v>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 spans="1:4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spans="1:4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>
      <c r="B10" s="2"/>
      <c r="C10" s="2" t="s">
        <v>105</v>
      </c>
      <c r="D10" s="31">
        <v>1</v>
      </c>
      <c r="E10" s="31">
        <v>2</v>
      </c>
      <c r="F10" s="31">
        <v>3</v>
      </c>
      <c r="G10" s="31">
        <v>4</v>
      </c>
      <c r="H10" s="31">
        <v>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>
      <c r="B11" s="2"/>
      <c r="C11" s="2" t="s">
        <v>106</v>
      </c>
      <c r="D11" s="2">
        <v>0</v>
      </c>
      <c r="E11" s="2">
        <v>1</v>
      </c>
      <c r="F11" s="2">
        <v>2</v>
      </c>
      <c r="G11" s="2">
        <v>3</v>
      </c>
      <c r="H11" s="2">
        <v>4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>
      <c r="B12" s="2"/>
      <c r="C12" s="2"/>
      <c r="D12" s="2">
        <v>1</v>
      </c>
      <c r="E12" s="2">
        <v>0</v>
      </c>
      <c r="F12" s="2">
        <v>2</v>
      </c>
      <c r="G12" s="2">
        <v>3</v>
      </c>
      <c r="H12" s="2">
        <v>4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</row>
    <row r="13" spans="1:45">
      <c r="B13" s="2"/>
      <c r="C13" s="2"/>
      <c r="D13" s="2">
        <v>1</v>
      </c>
      <c r="E13" s="2">
        <v>0</v>
      </c>
      <c r="F13" s="2">
        <v>3</v>
      </c>
      <c r="G13" s="2">
        <v>4</v>
      </c>
      <c r="H13" s="2">
        <v>2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 spans="1:4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 spans="1:4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</row>
    <row r="16" spans="1:4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2:4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2:4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</row>
    <row r="19" spans="2:4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</row>
    <row r="20" spans="2:45">
      <c r="B20" s="2"/>
      <c r="C20" s="2"/>
      <c r="D20" s="2">
        <v>1</v>
      </c>
      <c r="E20" s="2">
        <v>0</v>
      </c>
      <c r="F20" s="2">
        <v>3</v>
      </c>
      <c r="G20" s="2">
        <v>4</v>
      </c>
      <c r="H20" s="2">
        <v>2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</row>
    <row r="21" spans="2:4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 spans="2:4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 spans="2:45">
      <c r="B23" s="2"/>
      <c r="C23" s="2"/>
      <c r="D23" s="30">
        <v>1</v>
      </c>
      <c r="E23" s="30">
        <v>2</v>
      </c>
      <c r="F23" s="30">
        <v>3</v>
      </c>
      <c r="G23" s="30">
        <v>4</v>
      </c>
      <c r="H23" s="30">
        <v>5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</row>
    <row r="24" spans="2:45">
      <c r="B24" s="2"/>
      <c r="C24" s="2" t="s">
        <v>107</v>
      </c>
      <c r="D24" s="2">
        <v>1</v>
      </c>
      <c r="E24" s="2">
        <v>0</v>
      </c>
      <c r="F24" s="2">
        <v>3</v>
      </c>
      <c r="G24" s="2">
        <v>4</v>
      </c>
      <c r="H24" s="2">
        <v>2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</row>
    <row r="25" spans="2:4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</row>
    <row r="26" spans="2:45">
      <c r="B26" s="2"/>
      <c r="C26" s="2" t="s">
        <v>102</v>
      </c>
      <c r="D26" s="2">
        <v>0</v>
      </c>
      <c r="E26" s="2">
        <v>1</v>
      </c>
      <c r="F26" s="2">
        <v>2</v>
      </c>
      <c r="G26" s="2">
        <v>3</v>
      </c>
      <c r="H26" s="2">
        <v>4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 spans="2:45">
      <c r="B27" s="2"/>
      <c r="C27" s="2" t="s">
        <v>108</v>
      </c>
      <c r="D27" s="2">
        <v>2</v>
      </c>
      <c r="E27" s="2">
        <v>1</v>
      </c>
      <c r="F27" s="2">
        <v>5</v>
      </c>
      <c r="G27" s="2">
        <v>3</v>
      </c>
      <c r="H27" s="2">
        <v>4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  <row r="28" spans="2:4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 spans="2:4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</row>
  </sheetData>
  <phoneticPr fontId="2" type="noConversion"/>
  <hyperlinks>
    <hyperlink ref="A1" location="목차!A1" display="HOME" xr:uid="{8BFE0E83-765A-4E27-8C7C-FAF0482F4EE9}"/>
  </hyperlink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37F71-6A6B-4EA1-954C-4D9DB4A42DB7}">
  <dimension ref="A1:BN17"/>
  <sheetViews>
    <sheetView workbookViewId="0">
      <selection activeCell="AN26" sqref="AN26"/>
    </sheetView>
  </sheetViews>
  <sheetFormatPr defaultRowHeight="17.399999999999999"/>
  <cols>
    <col min="1" max="1" width="6.69921875" customWidth="1"/>
    <col min="2" max="82" width="3.5" customWidth="1"/>
  </cols>
  <sheetData>
    <row r="1" spans="1:66" ht="18" thickBot="1">
      <c r="A1" s="19" t="s">
        <v>64</v>
      </c>
    </row>
    <row r="2" spans="1:66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</row>
    <row r="3" spans="1:66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</row>
    <row r="4" spans="1:66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</row>
    <row r="5" spans="1:66">
      <c r="B5" s="2">
        <v>0</v>
      </c>
      <c r="C5" s="2">
        <v>1</v>
      </c>
      <c r="D5" s="2">
        <v>2</v>
      </c>
      <c r="E5" s="2">
        <v>3</v>
      </c>
      <c r="F5" s="2">
        <v>4</v>
      </c>
      <c r="G5" s="2">
        <v>5</v>
      </c>
      <c r="H5" s="2">
        <v>6</v>
      </c>
      <c r="I5" s="2">
        <v>7</v>
      </c>
      <c r="J5" s="2">
        <v>8</v>
      </c>
      <c r="K5" s="2">
        <v>9</v>
      </c>
      <c r="L5" s="2">
        <v>10</v>
      </c>
      <c r="M5" s="2">
        <v>11</v>
      </c>
      <c r="N5" s="2">
        <v>12</v>
      </c>
      <c r="O5" s="2">
        <v>13</v>
      </c>
      <c r="P5" s="2">
        <v>14</v>
      </c>
      <c r="Q5" s="2">
        <v>15</v>
      </c>
      <c r="R5" s="2">
        <v>16</v>
      </c>
      <c r="S5" s="2">
        <v>17</v>
      </c>
      <c r="T5" s="2">
        <v>18</v>
      </c>
      <c r="U5" s="2">
        <v>19</v>
      </c>
      <c r="V5" s="2">
        <v>20</v>
      </c>
      <c r="W5" s="2">
        <v>21</v>
      </c>
      <c r="X5" s="2">
        <v>22</v>
      </c>
      <c r="Y5" s="2">
        <v>23</v>
      </c>
      <c r="Z5" s="2">
        <v>24</v>
      </c>
      <c r="AA5" s="2">
        <v>25</v>
      </c>
      <c r="AB5" s="2">
        <v>26</v>
      </c>
      <c r="AC5" s="2">
        <v>27</v>
      </c>
      <c r="AD5" s="2">
        <v>28</v>
      </c>
      <c r="AE5" s="2">
        <v>29</v>
      </c>
      <c r="AF5" s="2">
        <v>30</v>
      </c>
      <c r="AG5" s="2">
        <v>31</v>
      </c>
      <c r="AH5" s="2">
        <v>32</v>
      </c>
      <c r="AI5" s="2">
        <v>33</v>
      </c>
      <c r="AJ5" s="2">
        <v>34</v>
      </c>
      <c r="AK5" s="2">
        <v>35</v>
      </c>
      <c r="AL5" s="2">
        <v>36</v>
      </c>
      <c r="AM5" s="2">
        <v>37</v>
      </c>
      <c r="AN5" s="2">
        <v>38</v>
      </c>
      <c r="AO5" s="2">
        <v>39</v>
      </c>
      <c r="AP5" s="2">
        <v>40</v>
      </c>
      <c r="AQ5" s="2">
        <v>41</v>
      </c>
      <c r="AR5" s="2">
        <v>42</v>
      </c>
      <c r="AS5" s="2">
        <v>43</v>
      </c>
      <c r="AT5" s="2">
        <v>44</v>
      </c>
      <c r="AU5" s="2">
        <v>45</v>
      </c>
      <c r="AV5" s="2">
        <v>46</v>
      </c>
      <c r="AW5" s="2">
        <v>47</v>
      </c>
      <c r="AX5" s="2">
        <v>48</v>
      </c>
      <c r="AY5" s="2">
        <v>49</v>
      </c>
      <c r="AZ5" s="2">
        <v>50</v>
      </c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</row>
    <row r="6" spans="1:66">
      <c r="B6" s="2"/>
      <c r="C6" s="21"/>
      <c r="D6" s="21"/>
      <c r="E6" s="22"/>
      <c r="F6" s="22"/>
      <c r="G6" s="21"/>
      <c r="H6" s="22"/>
      <c r="I6" s="21"/>
      <c r="J6" s="22"/>
      <c r="K6" s="21"/>
      <c r="L6" s="21"/>
      <c r="M6" s="21"/>
      <c r="N6" s="21"/>
      <c r="O6" s="21"/>
      <c r="P6" s="22"/>
      <c r="Q6" s="22"/>
      <c r="R6" s="22"/>
      <c r="S6" s="22"/>
      <c r="T6" s="21"/>
      <c r="U6" s="21"/>
      <c r="V6" s="21"/>
      <c r="W6" s="22"/>
      <c r="X6" s="21"/>
      <c r="Y6" s="21"/>
      <c r="Z6" s="21"/>
      <c r="AA6" s="22"/>
      <c r="AB6" s="22"/>
      <c r="AC6" s="22"/>
      <c r="AD6" s="21"/>
      <c r="AE6" s="21"/>
      <c r="AF6" s="22"/>
      <c r="AG6" s="22"/>
      <c r="AH6" s="21"/>
      <c r="AI6" s="21"/>
      <c r="AJ6" s="21"/>
      <c r="AK6" s="21"/>
      <c r="AL6" s="21"/>
      <c r="AM6" s="21"/>
      <c r="AN6" s="21"/>
      <c r="AO6" s="21"/>
      <c r="AP6" s="22"/>
      <c r="AQ6" s="22"/>
      <c r="AR6" s="22"/>
      <c r="AS6" s="22"/>
      <c r="AT6" s="21"/>
      <c r="AU6" s="21"/>
      <c r="AV6" s="21"/>
      <c r="AW6" s="21"/>
      <c r="AX6" s="21"/>
      <c r="AY6" s="21"/>
      <c r="AZ6" s="21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</row>
    <row r="7" spans="1:66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</row>
    <row r="8" spans="1:66">
      <c r="B8" s="2"/>
      <c r="C8" s="2"/>
      <c r="D8" s="2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2"/>
      <c r="AU8" s="2"/>
      <c r="AV8" s="2"/>
      <c r="AW8" s="2"/>
      <c r="AX8" s="2"/>
      <c r="AY8" s="2"/>
      <c r="AZ8" s="2"/>
      <c r="BA8" s="102" t="s">
        <v>132</v>
      </c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2"/>
      <c r="BN8" s="2"/>
    </row>
    <row r="9" spans="1:66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</row>
    <row r="10" spans="1:66">
      <c r="B10" s="2"/>
      <c r="C10" s="2"/>
      <c r="D10" s="2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2"/>
      <c r="AI10" s="2"/>
      <c r="AJ10" s="2"/>
      <c r="AK10" s="2"/>
      <c r="AL10" s="2"/>
      <c r="AM10" s="2"/>
      <c r="AN10" s="2"/>
      <c r="AO10" s="2"/>
      <c r="AP10" s="48"/>
      <c r="AQ10" s="48"/>
      <c r="AR10" s="48"/>
      <c r="AS10" s="48"/>
      <c r="AT10" s="2"/>
      <c r="AU10" s="2"/>
      <c r="AV10" s="2"/>
      <c r="AW10" s="2"/>
      <c r="AX10" s="2"/>
      <c r="AY10" s="2"/>
      <c r="AZ10" s="2"/>
      <c r="BA10" s="102" t="s">
        <v>133</v>
      </c>
      <c r="BB10" s="102"/>
      <c r="BC10" s="102"/>
      <c r="BD10" s="102"/>
      <c r="BE10" s="102"/>
      <c r="BF10" s="102"/>
      <c r="BG10" s="102"/>
      <c r="BH10" s="102"/>
      <c r="BI10" s="102"/>
      <c r="BJ10" s="102"/>
      <c r="BK10" s="102"/>
      <c r="BL10" s="102"/>
      <c r="BM10" s="2"/>
      <c r="BN10" s="2"/>
    </row>
    <row r="11" spans="1:66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</row>
    <row r="12" spans="1:66">
      <c r="B12" s="2"/>
      <c r="C12" s="2"/>
      <c r="D12" s="2"/>
      <c r="E12" s="48"/>
      <c r="F12" s="48"/>
      <c r="G12" s="48"/>
      <c r="H12" s="48"/>
      <c r="I12" s="48"/>
      <c r="J12" s="48"/>
      <c r="K12" s="2"/>
      <c r="L12" s="2"/>
      <c r="M12" s="2"/>
      <c r="N12" s="2"/>
      <c r="O12" s="2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2"/>
      <c r="AI12" s="2"/>
      <c r="AJ12" s="2"/>
      <c r="AK12" s="2"/>
      <c r="AL12" s="2"/>
      <c r="AM12" s="2"/>
      <c r="AN12" s="2"/>
      <c r="AO12" s="2"/>
      <c r="AP12" s="48"/>
      <c r="AQ12" s="48"/>
      <c r="AR12" s="48"/>
      <c r="AS12" s="48"/>
      <c r="AT12" s="2"/>
      <c r="AU12" s="2"/>
      <c r="AV12" s="2"/>
      <c r="AW12" s="2"/>
      <c r="AX12" s="2"/>
      <c r="AY12" s="2"/>
      <c r="AZ12" s="2"/>
      <c r="BA12" s="102" t="s">
        <v>134</v>
      </c>
      <c r="BB12" s="102"/>
      <c r="BC12" s="102"/>
      <c r="BD12" s="102"/>
      <c r="BE12" s="102"/>
      <c r="BF12" s="102"/>
      <c r="BG12" s="102"/>
      <c r="BH12" s="102"/>
      <c r="BI12" s="102"/>
      <c r="BJ12" s="102"/>
      <c r="BK12" s="102"/>
      <c r="BL12" s="102"/>
      <c r="BM12" s="2"/>
      <c r="BN12" s="2"/>
    </row>
    <row r="13" spans="1:66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</row>
    <row r="14" spans="1:66">
      <c r="B14" s="2"/>
      <c r="C14" s="2"/>
      <c r="D14" s="2"/>
      <c r="E14" s="48"/>
      <c r="F14" s="48"/>
      <c r="G14" s="48"/>
      <c r="H14" s="48"/>
      <c r="I14" s="48"/>
      <c r="J14" s="48"/>
      <c r="K14" s="2"/>
      <c r="L14" s="2"/>
      <c r="M14" s="2"/>
      <c r="N14" s="2"/>
      <c r="O14" s="2"/>
      <c r="P14" s="48"/>
      <c r="Q14" s="48"/>
      <c r="R14" s="48"/>
      <c r="S14" s="48"/>
      <c r="T14" s="2"/>
      <c r="U14" s="2"/>
      <c r="V14" s="2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2"/>
      <c r="AI14" s="2"/>
      <c r="AJ14" s="2"/>
      <c r="AK14" s="2"/>
      <c r="AL14" s="2"/>
      <c r="AM14" s="2"/>
      <c r="AN14" s="2"/>
      <c r="AO14" s="2"/>
      <c r="AP14" s="48"/>
      <c r="AQ14" s="48"/>
      <c r="AR14" s="48"/>
      <c r="AS14" s="48"/>
      <c r="AT14" s="2"/>
      <c r="AU14" s="2"/>
      <c r="AV14" s="2"/>
      <c r="AW14" s="2"/>
      <c r="AX14" s="2"/>
      <c r="AY14" s="2"/>
      <c r="AZ14" s="2"/>
      <c r="BA14" s="102" t="s">
        <v>135</v>
      </c>
      <c r="BB14" s="102"/>
      <c r="BC14" s="102"/>
      <c r="BD14" s="102"/>
      <c r="BE14" s="102"/>
      <c r="BF14" s="102"/>
      <c r="BG14" s="102"/>
      <c r="BH14" s="102"/>
      <c r="BI14" s="102"/>
      <c r="BJ14" s="102"/>
      <c r="BK14" s="102"/>
      <c r="BL14" s="102"/>
      <c r="BM14" s="2"/>
      <c r="BN14" s="2"/>
    </row>
    <row r="15" spans="1:66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</row>
    <row r="16" spans="1:66">
      <c r="B16" s="2"/>
      <c r="C16" s="2"/>
      <c r="D16" s="2"/>
      <c r="E16" s="48"/>
      <c r="F16" s="48"/>
      <c r="G16" s="48"/>
      <c r="H16" s="48"/>
      <c r="I16" s="48"/>
      <c r="J16" s="48"/>
      <c r="K16" s="2"/>
      <c r="L16" s="2"/>
      <c r="M16" s="2"/>
      <c r="N16" s="2"/>
      <c r="O16" s="2"/>
      <c r="P16" s="48"/>
      <c r="Q16" s="48"/>
      <c r="R16" s="48"/>
      <c r="S16" s="48"/>
      <c r="T16" s="2"/>
      <c r="U16" s="2"/>
      <c r="V16" s="2"/>
      <c r="W16" s="48"/>
      <c r="X16" s="2"/>
      <c r="Y16" s="2"/>
      <c r="Z16" s="2"/>
      <c r="AA16" s="48"/>
      <c r="AB16" s="48"/>
      <c r="AC16" s="48"/>
      <c r="AD16" s="48"/>
      <c r="AE16" s="48"/>
      <c r="AF16" s="48"/>
      <c r="AG16" s="48"/>
      <c r="AH16" s="2"/>
      <c r="AI16" s="2"/>
      <c r="AJ16" s="2"/>
      <c r="AK16" s="2"/>
      <c r="AL16" s="2"/>
      <c r="AM16" s="2"/>
      <c r="AN16" s="2"/>
      <c r="AO16" s="2"/>
      <c r="AP16" s="48"/>
      <c r="AQ16" s="48"/>
      <c r="AR16" s="48"/>
      <c r="AS16" s="48"/>
      <c r="AT16" s="2"/>
      <c r="AU16" s="2"/>
      <c r="AV16" s="2"/>
      <c r="AW16" s="2"/>
      <c r="AX16" s="2"/>
      <c r="AY16" s="2"/>
      <c r="AZ16" s="2"/>
      <c r="BA16" s="102" t="s">
        <v>136</v>
      </c>
      <c r="BB16" s="102"/>
      <c r="BC16" s="102"/>
      <c r="BD16" s="102"/>
      <c r="BE16" s="102"/>
      <c r="BF16" s="102"/>
      <c r="BG16" s="102"/>
      <c r="BH16" s="102"/>
      <c r="BI16" s="102"/>
      <c r="BJ16" s="102"/>
      <c r="BK16" s="102"/>
      <c r="BL16" s="102"/>
      <c r="BM16" s="2"/>
      <c r="BN16" s="2"/>
    </row>
    <row r="17" spans="2:66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</row>
  </sheetData>
  <mergeCells count="5">
    <mergeCell ref="BA8:BL8"/>
    <mergeCell ref="BA10:BL10"/>
    <mergeCell ref="BA12:BL12"/>
    <mergeCell ref="BA14:BL14"/>
    <mergeCell ref="BA16:BL16"/>
  </mergeCells>
  <phoneticPr fontId="2" type="noConversion"/>
  <hyperlinks>
    <hyperlink ref="A1" location="목차!A1" display="HOME" xr:uid="{04A885FF-6B29-4F90-9EA5-9A67B11761D1}"/>
  </hyperlink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E3225-1792-4680-A224-B69CDED30A2E}">
  <dimension ref="A1:V28"/>
  <sheetViews>
    <sheetView topLeftCell="A9" workbookViewId="0">
      <selection activeCell="W35" sqref="W35"/>
    </sheetView>
  </sheetViews>
  <sheetFormatPr defaultRowHeight="17.399999999999999"/>
  <cols>
    <col min="1" max="1" width="6.69921875" customWidth="1"/>
    <col min="2" max="25" width="3.8984375" customWidth="1"/>
  </cols>
  <sheetData>
    <row r="1" spans="1:22" ht="18" thickBot="1">
      <c r="A1" s="19" t="s">
        <v>64</v>
      </c>
    </row>
    <row r="15" spans="1:22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>
      <c r="C16" s="2" t="s">
        <v>84</v>
      </c>
      <c r="D16" s="2" t="s">
        <v>137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 t="s">
        <v>111</v>
      </c>
      <c r="P16" s="2"/>
      <c r="Q16" s="2"/>
      <c r="R16" s="2"/>
      <c r="S16" s="2"/>
      <c r="T16" s="2"/>
      <c r="U16" s="2"/>
      <c r="V16" s="2"/>
    </row>
    <row r="17" spans="3:22">
      <c r="C17" s="2">
        <v>10</v>
      </c>
      <c r="D17" s="2">
        <v>3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>
        <v>2</v>
      </c>
      <c r="P17" s="2"/>
      <c r="Q17" s="2"/>
      <c r="R17" s="2"/>
      <c r="S17" s="2"/>
      <c r="T17" s="2"/>
      <c r="U17" s="2"/>
      <c r="V17" s="2"/>
    </row>
    <row r="18" spans="3:22">
      <c r="C18" s="20">
        <v>1</v>
      </c>
      <c r="D18" s="20">
        <v>2</v>
      </c>
      <c r="E18" s="20">
        <v>3</v>
      </c>
      <c r="F18" s="20">
        <v>4</v>
      </c>
      <c r="G18" s="20">
        <v>5</v>
      </c>
      <c r="H18" s="20">
        <v>6</v>
      </c>
      <c r="I18" s="20">
        <v>7</v>
      </c>
      <c r="J18" s="20">
        <v>8</v>
      </c>
      <c r="K18" s="20">
        <v>9</v>
      </c>
      <c r="L18" s="20">
        <v>10</v>
      </c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 spans="3:22">
      <c r="C19" s="21">
        <v>0</v>
      </c>
      <c r="D19" s="21">
        <v>1</v>
      </c>
      <c r="E19" s="49">
        <v>1</v>
      </c>
      <c r="F19" s="21">
        <v>1</v>
      </c>
      <c r="G19" s="21">
        <v>0</v>
      </c>
      <c r="H19" s="21">
        <v>1</v>
      </c>
      <c r="I19" s="21">
        <v>1</v>
      </c>
      <c r="J19" s="49">
        <v>1</v>
      </c>
      <c r="K19" s="21">
        <v>0</v>
      </c>
      <c r="L19" s="21">
        <v>1</v>
      </c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3:22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3:22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3:22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3:22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3:22">
      <c r="C24" s="2" t="s">
        <v>84</v>
      </c>
      <c r="D24" s="2" t="s">
        <v>137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 t="s">
        <v>111</v>
      </c>
      <c r="P24" s="2"/>
      <c r="Q24" s="2"/>
      <c r="R24" s="2"/>
      <c r="S24" s="2"/>
      <c r="T24" s="2"/>
      <c r="U24" s="2"/>
      <c r="V24" s="2"/>
    </row>
    <row r="25" spans="3:22">
      <c r="C25" s="2">
        <v>10</v>
      </c>
      <c r="D25" s="2">
        <v>3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>
        <v>3</v>
      </c>
      <c r="P25" s="2"/>
      <c r="Q25" s="2"/>
      <c r="R25" s="2"/>
      <c r="S25" s="2"/>
      <c r="T25" s="2"/>
      <c r="U25" s="2"/>
      <c r="V25" s="2"/>
    </row>
    <row r="26" spans="3:22">
      <c r="C26" s="20">
        <v>1</v>
      </c>
      <c r="D26" s="20">
        <v>2</v>
      </c>
      <c r="E26" s="20">
        <v>3</v>
      </c>
      <c r="F26" s="20">
        <v>4</v>
      </c>
      <c r="G26" s="20">
        <v>5</v>
      </c>
      <c r="H26" s="20">
        <v>6</v>
      </c>
      <c r="I26" s="20">
        <v>7</v>
      </c>
      <c r="J26" s="20">
        <v>8</v>
      </c>
      <c r="K26" s="20">
        <v>9</v>
      </c>
      <c r="L26" s="20">
        <v>10</v>
      </c>
      <c r="M26" s="20"/>
      <c r="N26" s="20"/>
      <c r="O26" s="20"/>
      <c r="P26" s="2"/>
      <c r="Q26" s="2"/>
      <c r="R26" s="2"/>
      <c r="S26" s="2"/>
      <c r="T26" s="2"/>
      <c r="U26" s="2"/>
      <c r="V26" s="2"/>
    </row>
    <row r="27" spans="3:22">
      <c r="C27" s="21">
        <v>0</v>
      </c>
      <c r="D27" s="21">
        <v>1</v>
      </c>
      <c r="E27" s="49">
        <v>1</v>
      </c>
      <c r="F27" s="21">
        <v>1</v>
      </c>
      <c r="G27" s="21">
        <v>0</v>
      </c>
      <c r="H27" s="21">
        <v>1</v>
      </c>
      <c r="I27" s="49">
        <v>1</v>
      </c>
      <c r="J27" s="21">
        <v>0</v>
      </c>
      <c r="K27" s="21">
        <v>0</v>
      </c>
      <c r="L27" s="49">
        <v>1</v>
      </c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3:22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</sheetData>
  <phoneticPr fontId="2" type="noConversion"/>
  <hyperlinks>
    <hyperlink ref="A1" location="목차!A1" display="HOME" xr:uid="{4286B47E-97CC-4D2B-8BEE-32FD2986224D}"/>
  </hyperlink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AEED1-B28E-4DB0-8BF1-18BED5FB93F0}">
  <dimension ref="A1:V9"/>
  <sheetViews>
    <sheetView workbookViewId="0"/>
  </sheetViews>
  <sheetFormatPr defaultRowHeight="17.399999999999999"/>
  <cols>
    <col min="1" max="1" width="6.69921875" customWidth="1"/>
    <col min="2" max="3" width="9.5" style="2" customWidth="1"/>
    <col min="4" max="47" width="4.09765625" customWidth="1"/>
  </cols>
  <sheetData>
    <row r="1" spans="1:22" ht="18" thickBot="1">
      <c r="A1" s="19" t="s">
        <v>64</v>
      </c>
    </row>
    <row r="3" spans="1:22" ht="18" thickBot="1">
      <c r="B3" s="2" t="s">
        <v>138</v>
      </c>
      <c r="C3" s="2" t="s">
        <v>139</v>
      </c>
      <c r="E3" s="50">
        <v>-15</v>
      </c>
      <c r="F3" s="50">
        <v>-10</v>
      </c>
      <c r="G3" s="50">
        <v>-5</v>
      </c>
      <c r="H3" s="50">
        <v>0</v>
      </c>
      <c r="I3" s="50">
        <v>5</v>
      </c>
      <c r="J3" s="50">
        <v>10</v>
      </c>
      <c r="K3" s="50">
        <v>15</v>
      </c>
      <c r="L3" s="50">
        <v>20</v>
      </c>
      <c r="M3" s="50">
        <v>25</v>
      </c>
      <c r="N3" s="50">
        <v>30</v>
      </c>
      <c r="O3" s="50">
        <v>35</v>
      </c>
      <c r="P3" s="50">
        <v>40</v>
      </c>
      <c r="Q3" s="50">
        <v>45</v>
      </c>
      <c r="R3" s="50">
        <v>50</v>
      </c>
      <c r="S3" s="50">
        <v>55</v>
      </c>
      <c r="T3" s="50">
        <v>60</v>
      </c>
      <c r="U3" s="50">
        <v>65</v>
      </c>
      <c r="V3" s="50">
        <v>70</v>
      </c>
    </row>
    <row r="4" spans="1:22" ht="22.5" customHeight="1">
      <c r="B4" s="51">
        <v>-15</v>
      </c>
      <c r="C4" s="52">
        <v>5</v>
      </c>
    </row>
    <row r="5" spans="1:22" ht="18" thickBot="1">
      <c r="B5" s="53">
        <v>-10</v>
      </c>
      <c r="C5" s="54">
        <v>5</v>
      </c>
    </row>
    <row r="6" spans="1:22" ht="22.5" customHeight="1">
      <c r="B6" s="55">
        <v>10</v>
      </c>
      <c r="C6" s="56">
        <v>73</v>
      </c>
    </row>
    <row r="7" spans="1:22" ht="18" thickBot="1">
      <c r="B7" s="57">
        <v>27</v>
      </c>
      <c r="C7" s="58">
        <v>44</v>
      </c>
    </row>
    <row r="8" spans="1:22" ht="18" thickBot="1">
      <c r="B8" s="59">
        <v>50</v>
      </c>
      <c r="C8" s="60">
        <v>70</v>
      </c>
    </row>
    <row r="9" spans="1:22" ht="22.5" customHeight="1"/>
  </sheetData>
  <phoneticPr fontId="2" type="noConversion"/>
  <hyperlinks>
    <hyperlink ref="A1" location="목차!A1" display="HOME" xr:uid="{74A7D8E6-986C-409E-8351-9B6A480F46B8}"/>
  </hyperlink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2E632-84D0-4F41-B028-D146F578CC01}">
  <dimension ref="A1:R26"/>
  <sheetViews>
    <sheetView topLeftCell="A15" zoomScale="130" zoomScaleNormal="130" workbookViewId="0">
      <selection activeCell="R21" sqref="A1:XFD1048576"/>
    </sheetView>
  </sheetViews>
  <sheetFormatPr defaultColWidth="5.19921875" defaultRowHeight="17.399999999999999"/>
  <cols>
    <col min="1" max="1" width="7.09765625" style="2" bestFit="1" customWidth="1"/>
    <col min="2" max="10" width="5.19921875" style="2"/>
    <col min="11" max="11" width="8.69921875" style="2" customWidth="1"/>
    <col min="12" max="16384" width="5.19921875" style="2"/>
  </cols>
  <sheetData>
    <row r="1" spans="1:1" ht="18" thickBot="1">
      <c r="A1" s="19" t="s">
        <v>64</v>
      </c>
    </row>
    <row r="22" spans="3:18">
      <c r="C22" s="2" t="s">
        <v>84</v>
      </c>
      <c r="E22" s="2" t="s">
        <v>159</v>
      </c>
      <c r="M22" s="2" t="s">
        <v>160</v>
      </c>
    </row>
    <row r="23" spans="3:18">
      <c r="C23" s="2">
        <v>7</v>
      </c>
    </row>
    <row r="24" spans="3:18">
      <c r="C24" s="20">
        <v>1</v>
      </c>
      <c r="D24" s="20">
        <v>2</v>
      </c>
      <c r="E24" s="20">
        <v>3</v>
      </c>
      <c r="F24" s="20">
        <v>4</v>
      </c>
      <c r="G24" s="20">
        <v>5</v>
      </c>
      <c r="H24" s="20">
        <v>6</v>
      </c>
      <c r="I24" s="20">
        <v>7</v>
      </c>
      <c r="L24" s="20">
        <v>1</v>
      </c>
      <c r="M24" s="20">
        <v>2</v>
      </c>
      <c r="N24" s="20">
        <v>3</v>
      </c>
      <c r="O24" s="20">
        <v>4</v>
      </c>
      <c r="P24" s="20">
        <v>5</v>
      </c>
      <c r="Q24" s="20">
        <v>6</v>
      </c>
      <c r="R24" s="20">
        <v>7</v>
      </c>
    </row>
    <row r="25" spans="3:18">
      <c r="C25" s="2">
        <v>3</v>
      </c>
      <c r="D25" s="2">
        <v>1</v>
      </c>
      <c r="E25" s="2">
        <v>6</v>
      </c>
      <c r="F25" s="2">
        <v>2</v>
      </c>
      <c r="G25" s="2">
        <v>7</v>
      </c>
      <c r="H25" s="2">
        <v>30</v>
      </c>
      <c r="I25" s="2">
        <v>1</v>
      </c>
      <c r="L25" s="2">
        <v>1</v>
      </c>
      <c r="M25" s="2">
        <v>1</v>
      </c>
      <c r="N25" s="2">
        <v>2</v>
      </c>
      <c r="O25" s="2">
        <v>3</v>
      </c>
      <c r="P25" s="2">
        <v>6</v>
      </c>
      <c r="Q25" s="2">
        <v>7</v>
      </c>
      <c r="R25" s="2">
        <v>30</v>
      </c>
    </row>
    <row r="26" spans="3:18">
      <c r="K26" s="2" t="s">
        <v>161</v>
      </c>
      <c r="L26" s="2">
        <v>1</v>
      </c>
      <c r="M26" s="2">
        <v>2</v>
      </c>
      <c r="N26" s="2">
        <v>3</v>
      </c>
      <c r="O26" s="2">
        <v>5</v>
      </c>
      <c r="P26" s="2">
        <v>8</v>
      </c>
      <c r="Q26" s="2">
        <v>14</v>
      </c>
      <c r="R26" s="2">
        <v>21</v>
      </c>
    </row>
  </sheetData>
  <phoneticPr fontId="2" type="noConversion"/>
  <hyperlinks>
    <hyperlink ref="A1" location="목차!A1" display="HOME" xr:uid="{B444D7B2-1366-4CE5-8A63-D57D7DE51F08}"/>
  </hyperlink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8DF7E-22E8-4B78-8E30-308662FB59B0}">
  <dimension ref="A1:AG72"/>
  <sheetViews>
    <sheetView topLeftCell="A23" zoomScale="130" zoomScaleNormal="130" workbookViewId="0">
      <selection activeCell="AF22" sqref="AF22"/>
    </sheetView>
  </sheetViews>
  <sheetFormatPr defaultRowHeight="17.399999999999999"/>
  <cols>
    <col min="1" max="1" width="7.09765625" bestFit="1" customWidth="1"/>
    <col min="2" max="2" width="18.59765625" bestFit="1" customWidth="1"/>
    <col min="3" max="3" width="6.19921875" bestFit="1" customWidth="1"/>
    <col min="4" max="4" width="7" bestFit="1" customWidth="1"/>
    <col min="5" max="7" width="2.8984375" bestFit="1" customWidth="1"/>
    <col min="8" max="13" width="3.5" bestFit="1" customWidth="1"/>
    <col min="14" max="14" width="4.3984375" bestFit="1" customWidth="1"/>
    <col min="15" max="32" width="3.69921875" customWidth="1"/>
  </cols>
  <sheetData>
    <row r="1" spans="1:33" ht="18" thickBot="1">
      <c r="A1" s="19" t="s">
        <v>64</v>
      </c>
    </row>
    <row r="2" spans="1:3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2:3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2:3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2:3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2:3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2:3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2:3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2:3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2:3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2:3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2:3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2:3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2:3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2:33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2:33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2:33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2:33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2:33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2:33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2:33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2:33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2:3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2:33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2:33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2:33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2:33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2:33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2:33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2:33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2:33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pans="2:3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2:33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pans="2:33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2:33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spans="2:33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2:33">
      <c r="B51" s="2"/>
      <c r="C51" s="2"/>
      <c r="D51" s="2"/>
      <c r="E51" s="20">
        <v>0</v>
      </c>
      <c r="F51" s="20">
        <v>1</v>
      </c>
      <c r="G51" s="20">
        <v>2</v>
      </c>
      <c r="H51" s="20">
        <v>3</v>
      </c>
      <c r="I51" s="20">
        <v>4</v>
      </c>
      <c r="J51" s="20">
        <v>5</v>
      </c>
      <c r="K51" s="20">
        <v>6</v>
      </c>
      <c r="L51" s="20">
        <v>7</v>
      </c>
      <c r="M51" s="20">
        <v>8</v>
      </c>
      <c r="N51" s="20">
        <v>9</v>
      </c>
      <c r="O51" s="20">
        <v>10</v>
      </c>
      <c r="P51" s="20">
        <v>11</v>
      </c>
      <c r="Q51" s="20">
        <v>12</v>
      </c>
      <c r="R51" s="20">
        <v>13</v>
      </c>
      <c r="S51" s="20">
        <v>14</v>
      </c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pans="2:33">
      <c r="B52" s="2"/>
      <c r="C52" s="2" t="s">
        <v>140</v>
      </c>
      <c r="D52" s="2"/>
      <c r="E52" s="2">
        <v>7</v>
      </c>
      <c r="F52" s="2">
        <v>2</v>
      </c>
      <c r="G52" s="2">
        <v>3</v>
      </c>
      <c r="H52" s="2">
        <v>8</v>
      </c>
      <c r="I52" s="2">
        <v>5</v>
      </c>
      <c r="J52" s="2">
        <v>6</v>
      </c>
      <c r="K52" s="2">
        <v>1</v>
      </c>
      <c r="L52" s="2">
        <v>4</v>
      </c>
      <c r="M52" s="2">
        <v>2</v>
      </c>
      <c r="N52" s="2">
        <v>1</v>
      </c>
      <c r="O52" s="2">
        <v>3</v>
      </c>
      <c r="P52" s="2">
        <v>8</v>
      </c>
      <c r="Q52" s="2">
        <v>7</v>
      </c>
      <c r="R52" s="2">
        <v>2</v>
      </c>
      <c r="S52" s="2">
        <v>3</v>
      </c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spans="2:33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2:33">
      <c r="B54" s="2"/>
      <c r="C54" s="2"/>
      <c r="D54" s="2"/>
      <c r="E54" s="2"/>
      <c r="F54" s="2">
        <v>6</v>
      </c>
      <c r="G54" s="2">
        <v>6</v>
      </c>
      <c r="H54" s="2">
        <v>3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2:33">
      <c r="B55" s="2"/>
      <c r="C55" s="2"/>
      <c r="D55" s="2" t="s">
        <v>141</v>
      </c>
      <c r="E55" s="2"/>
      <c r="F55" s="20">
        <v>1</v>
      </c>
      <c r="G55" s="20">
        <v>2</v>
      </c>
      <c r="H55" s="20">
        <v>3</v>
      </c>
      <c r="I55" s="20">
        <v>4</v>
      </c>
      <c r="J55" s="20">
        <v>5</v>
      </c>
      <c r="K55" s="20">
        <v>6</v>
      </c>
      <c r="L55" s="20">
        <v>7</v>
      </c>
      <c r="M55" s="20">
        <v>8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pans="2:33">
      <c r="B56" s="2" t="s">
        <v>142</v>
      </c>
      <c r="C56" s="2" t="s">
        <v>143</v>
      </c>
      <c r="D56" s="2"/>
      <c r="E56" s="2"/>
      <c r="F56" s="2">
        <v>2</v>
      </c>
      <c r="G56" s="2">
        <v>3</v>
      </c>
      <c r="H56" s="2">
        <v>3</v>
      </c>
      <c r="I56" s="2">
        <v>1</v>
      </c>
      <c r="J56" s="2">
        <v>1</v>
      </c>
      <c r="K56" s="2">
        <v>1</v>
      </c>
      <c r="L56" s="2">
        <v>2</v>
      </c>
      <c r="M56" s="2">
        <v>2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pans="2:33">
      <c r="B57" s="2" t="s">
        <v>144</v>
      </c>
      <c r="C57" s="2" t="s">
        <v>145</v>
      </c>
      <c r="D57" s="2"/>
      <c r="E57" s="2"/>
      <c r="F57" s="2">
        <v>2</v>
      </c>
      <c r="G57" s="2">
        <v>6</v>
      </c>
      <c r="H57" s="2">
        <v>9</v>
      </c>
      <c r="I57" s="2">
        <v>4</v>
      </c>
      <c r="J57" s="2">
        <v>5</v>
      </c>
      <c r="K57" s="2">
        <v>6</v>
      </c>
      <c r="L57" s="2">
        <v>14</v>
      </c>
      <c r="M57" s="2">
        <v>16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2:33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spans="2:33">
      <c r="B59" s="2"/>
      <c r="C59" s="2"/>
      <c r="D59" s="2"/>
      <c r="E59" s="2"/>
      <c r="F59" s="2">
        <v>6</v>
      </c>
      <c r="G59" s="2">
        <v>6</v>
      </c>
      <c r="H59" s="2">
        <v>3</v>
      </c>
      <c r="I59" s="2"/>
      <c r="J59" s="2">
        <v>1</v>
      </c>
      <c r="K59" s="2">
        <v>2</v>
      </c>
      <c r="L59" s="2">
        <v>6</v>
      </c>
      <c r="M59" s="2">
        <v>8</v>
      </c>
      <c r="N59" s="2" t="s">
        <v>146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spans="2:33">
      <c r="B60" s="2"/>
      <c r="C60" s="2"/>
      <c r="D60" s="2"/>
      <c r="E60" s="20">
        <v>0</v>
      </c>
      <c r="F60" s="20">
        <v>1</v>
      </c>
      <c r="G60" s="20">
        <v>2</v>
      </c>
      <c r="H60" s="20">
        <v>3</v>
      </c>
      <c r="I60" s="20">
        <v>4</v>
      </c>
      <c r="J60" s="20">
        <v>5</v>
      </c>
      <c r="K60" s="20">
        <v>6</v>
      </c>
      <c r="L60" s="20">
        <v>7</v>
      </c>
      <c r="M60" s="20">
        <v>8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2:33">
      <c r="B61" s="2" t="s">
        <v>147</v>
      </c>
      <c r="C61" s="61" t="s">
        <v>148</v>
      </c>
      <c r="D61" s="2"/>
      <c r="E61" s="2">
        <v>0</v>
      </c>
      <c r="F61" s="2">
        <f>E61+F56</f>
        <v>2</v>
      </c>
      <c r="G61" s="2">
        <f t="shared" ref="G61:M62" si="0">F61+G56</f>
        <v>5</v>
      </c>
      <c r="H61" s="2">
        <f t="shared" si="0"/>
        <v>8</v>
      </c>
      <c r="I61" s="2">
        <f t="shared" si="0"/>
        <v>9</v>
      </c>
      <c r="J61" s="2">
        <f t="shared" si="0"/>
        <v>10</v>
      </c>
      <c r="K61" s="2">
        <f t="shared" si="0"/>
        <v>11</v>
      </c>
      <c r="L61" s="2">
        <f t="shared" si="0"/>
        <v>13</v>
      </c>
      <c r="M61" s="2">
        <f t="shared" si="0"/>
        <v>15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2:33">
      <c r="B62" s="2" t="s">
        <v>149</v>
      </c>
      <c r="C62" s="61" t="s">
        <v>150</v>
      </c>
      <c r="D62" s="2"/>
      <c r="E62" s="2">
        <v>0</v>
      </c>
      <c r="F62" s="2">
        <f>E62+F57</f>
        <v>2</v>
      </c>
      <c r="G62" s="2">
        <f t="shared" si="0"/>
        <v>8</v>
      </c>
      <c r="H62" s="2">
        <f t="shared" si="0"/>
        <v>17</v>
      </c>
      <c r="I62" s="2">
        <f t="shared" si="0"/>
        <v>21</v>
      </c>
      <c r="J62" s="2">
        <f t="shared" si="0"/>
        <v>26</v>
      </c>
      <c r="K62" s="2">
        <f t="shared" si="0"/>
        <v>32</v>
      </c>
      <c r="L62" s="2">
        <f t="shared" si="0"/>
        <v>46</v>
      </c>
      <c r="M62" s="2">
        <f t="shared" si="0"/>
        <v>62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2:33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spans="2:33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spans="2:33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spans="2:33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spans="2:33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spans="2:33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spans="2:33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spans="2:33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spans="2:33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spans="2:33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</sheetData>
  <phoneticPr fontId="2" type="noConversion"/>
  <hyperlinks>
    <hyperlink ref="A1" location="목차!A1" display="HOME" xr:uid="{3EDBE73E-AE2F-4D4C-B081-7353ACD21024}"/>
  </hyperlink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93F35-389C-492C-9129-3D7841737083}">
  <dimension ref="A1:O41"/>
  <sheetViews>
    <sheetView topLeftCell="A24" workbookViewId="0">
      <selection activeCell="S42" sqref="S42"/>
    </sheetView>
  </sheetViews>
  <sheetFormatPr defaultRowHeight="17.399999999999999"/>
  <cols>
    <col min="1" max="1" width="6.69921875" style="23" customWidth="1"/>
    <col min="2" max="3" width="5.296875" style="23" customWidth="1"/>
    <col min="4" max="15" width="7.5" style="23" customWidth="1"/>
    <col min="16" max="24" width="5.296875" style="23" customWidth="1"/>
    <col min="25" max="16384" width="8.796875" style="23"/>
  </cols>
  <sheetData>
    <row r="1" spans="1:14" ht="18" thickBot="1">
      <c r="A1" s="19" t="s">
        <v>64</v>
      </c>
    </row>
    <row r="14" spans="1:14">
      <c r="B14" s="23" t="s">
        <v>162</v>
      </c>
      <c r="D14" s="23">
        <v>5</v>
      </c>
      <c r="E14" s="23">
        <v>100</v>
      </c>
      <c r="J14" s="23">
        <v>5</v>
      </c>
      <c r="K14" s="23">
        <v>100</v>
      </c>
    </row>
    <row r="15" spans="1:14">
      <c r="D15" s="63" t="s">
        <v>163</v>
      </c>
      <c r="E15" s="63" t="s">
        <v>163</v>
      </c>
      <c r="F15" s="63" t="s">
        <v>163</v>
      </c>
      <c r="G15" s="63" t="s">
        <v>163</v>
      </c>
      <c r="H15" s="63" t="s">
        <v>163</v>
      </c>
      <c r="J15" s="63" t="s">
        <v>164</v>
      </c>
      <c r="K15" s="63" t="s">
        <v>164</v>
      </c>
      <c r="L15" s="63" t="s">
        <v>164</v>
      </c>
      <c r="M15" s="63" t="s">
        <v>164</v>
      </c>
      <c r="N15" s="63" t="s">
        <v>164</v>
      </c>
    </row>
    <row r="16" spans="1:14">
      <c r="D16" s="23">
        <v>7</v>
      </c>
      <c r="E16" s="23">
        <v>2</v>
      </c>
      <c r="F16" s="23">
        <v>3</v>
      </c>
      <c r="G16" s="23">
        <v>8</v>
      </c>
      <c r="H16" s="23">
        <v>5</v>
      </c>
      <c r="J16" s="23">
        <v>9</v>
      </c>
      <c r="K16" s="23">
        <v>1</v>
      </c>
      <c r="L16" s="23">
        <v>4</v>
      </c>
      <c r="M16" s="23">
        <v>7</v>
      </c>
      <c r="N16" s="23">
        <v>6</v>
      </c>
    </row>
    <row r="19" spans="2:15">
      <c r="B19" s="23" t="s">
        <v>165</v>
      </c>
      <c r="D19" s="23">
        <v>9</v>
      </c>
      <c r="E19" s="23">
        <v>5</v>
      </c>
    </row>
    <row r="20" spans="2:15">
      <c r="C20" s="23">
        <v>5</v>
      </c>
      <c r="D20" s="63" t="s">
        <v>164</v>
      </c>
      <c r="E20" s="63" t="s">
        <v>164</v>
      </c>
      <c r="F20" s="63" t="s">
        <v>164</v>
      </c>
      <c r="G20" s="63" t="s">
        <v>164</v>
      </c>
      <c r="H20" s="64" t="s">
        <v>164</v>
      </c>
      <c r="I20" s="64" t="s">
        <v>166</v>
      </c>
      <c r="J20" s="63" t="s">
        <v>163</v>
      </c>
      <c r="K20" s="63" t="s">
        <v>163</v>
      </c>
      <c r="L20" s="63" t="s">
        <v>163</v>
      </c>
      <c r="N20" s="23" t="s">
        <v>167</v>
      </c>
      <c r="O20" s="23" t="s">
        <v>168</v>
      </c>
    </row>
    <row r="21" spans="2:15">
      <c r="D21" s="65">
        <v>5</v>
      </c>
      <c r="E21" s="23">
        <v>8</v>
      </c>
      <c r="F21" s="23">
        <v>4</v>
      </c>
      <c r="G21" s="23">
        <v>9</v>
      </c>
      <c r="H21" s="23">
        <v>3</v>
      </c>
      <c r="I21" s="23">
        <v>4</v>
      </c>
      <c r="J21" s="23">
        <v>9</v>
      </c>
      <c r="K21" s="23">
        <v>5</v>
      </c>
      <c r="L21" s="65">
        <v>4</v>
      </c>
      <c r="N21" s="23">
        <f>SUM(D21:L21)</f>
        <v>51</v>
      </c>
      <c r="O21" s="23">
        <v>42</v>
      </c>
    </row>
    <row r="23" spans="2:15">
      <c r="C23" s="23">
        <v>4</v>
      </c>
      <c r="D23" s="63" t="s">
        <v>164</v>
      </c>
      <c r="E23" s="63" t="s">
        <v>164</v>
      </c>
      <c r="F23" s="63" t="s">
        <v>164</v>
      </c>
      <c r="G23" s="63" t="s">
        <v>164</v>
      </c>
      <c r="H23" s="64" t="s">
        <v>164</v>
      </c>
      <c r="I23" s="64" t="s">
        <v>166</v>
      </c>
      <c r="J23" s="63" t="s">
        <v>163</v>
      </c>
      <c r="K23" s="63" t="s">
        <v>163</v>
      </c>
      <c r="L23" s="63" t="s">
        <v>163</v>
      </c>
    </row>
    <row r="24" spans="2:15">
      <c r="D24" s="65">
        <v>4</v>
      </c>
      <c r="E24" s="23">
        <v>8</v>
      </c>
      <c r="F24" s="23">
        <v>4</v>
      </c>
      <c r="G24" s="23">
        <v>9</v>
      </c>
      <c r="H24" s="23">
        <v>3</v>
      </c>
      <c r="I24" s="23">
        <v>4</v>
      </c>
      <c r="J24" s="23">
        <v>9</v>
      </c>
      <c r="K24" s="23">
        <v>5</v>
      </c>
      <c r="L24" s="65">
        <v>3</v>
      </c>
    </row>
    <row r="26" spans="2:15">
      <c r="C26" s="23">
        <v>3</v>
      </c>
      <c r="D26" s="63" t="s">
        <v>164</v>
      </c>
      <c r="E26" s="63" t="s">
        <v>164</v>
      </c>
      <c r="F26" s="63" t="s">
        <v>164</v>
      </c>
      <c r="G26" s="63" t="s">
        <v>164</v>
      </c>
      <c r="H26" s="64" t="s">
        <v>164</v>
      </c>
      <c r="I26" s="64" t="s">
        <v>166</v>
      </c>
      <c r="J26" s="63" t="s">
        <v>163</v>
      </c>
      <c r="K26" s="63" t="s">
        <v>163</v>
      </c>
      <c r="L26" s="63" t="s">
        <v>163</v>
      </c>
    </row>
    <row r="27" spans="2:15">
      <c r="D27" s="65">
        <v>3</v>
      </c>
      <c r="E27" s="23">
        <v>8</v>
      </c>
      <c r="F27" s="23">
        <v>4</v>
      </c>
      <c r="G27" s="23">
        <v>9</v>
      </c>
      <c r="H27" s="23">
        <v>3</v>
      </c>
      <c r="I27" s="23">
        <v>4</v>
      </c>
      <c r="J27" s="23">
        <v>9</v>
      </c>
      <c r="K27" s="23">
        <v>5</v>
      </c>
      <c r="L27" s="65">
        <v>2</v>
      </c>
    </row>
    <row r="29" spans="2:15">
      <c r="C29" s="23">
        <v>2</v>
      </c>
      <c r="D29" s="63" t="s">
        <v>164</v>
      </c>
      <c r="E29" s="63" t="s">
        <v>164</v>
      </c>
      <c r="F29" s="63" t="s">
        <v>164</v>
      </c>
      <c r="G29" s="63" t="s">
        <v>164</v>
      </c>
      <c r="H29" s="64" t="s">
        <v>164</v>
      </c>
      <c r="I29" s="64" t="s">
        <v>166</v>
      </c>
      <c r="J29" s="63" t="s">
        <v>163</v>
      </c>
      <c r="K29" s="63" t="s">
        <v>163</v>
      </c>
      <c r="L29" s="63" t="s">
        <v>163</v>
      </c>
    </row>
    <row r="30" spans="2:15">
      <c r="D30" s="65">
        <v>2</v>
      </c>
      <c r="E30" s="23">
        <v>8</v>
      </c>
      <c r="F30" s="23">
        <v>4</v>
      </c>
      <c r="G30" s="23">
        <v>9</v>
      </c>
      <c r="H30" s="23">
        <v>3</v>
      </c>
      <c r="I30" s="23">
        <v>4</v>
      </c>
      <c r="J30" s="23">
        <v>9</v>
      </c>
      <c r="K30" s="23">
        <v>5</v>
      </c>
      <c r="L30" s="65">
        <v>1</v>
      </c>
    </row>
    <row r="32" spans="2:15">
      <c r="C32" s="23">
        <v>1</v>
      </c>
      <c r="D32" s="63" t="s">
        <v>164</v>
      </c>
      <c r="E32" s="63" t="s">
        <v>164</v>
      </c>
      <c r="F32" s="63" t="s">
        <v>164</v>
      </c>
      <c r="G32" s="63" t="s">
        <v>164</v>
      </c>
      <c r="H32" s="64" t="s">
        <v>164</v>
      </c>
      <c r="I32" s="64" t="s">
        <v>166</v>
      </c>
      <c r="J32" s="63" t="s">
        <v>163</v>
      </c>
      <c r="K32" s="63" t="s">
        <v>163</v>
      </c>
      <c r="L32" s="63" t="s">
        <v>163</v>
      </c>
    </row>
    <row r="33" spans="2:15">
      <c r="D33" s="65">
        <v>1</v>
      </c>
      <c r="E33" s="23">
        <v>8</v>
      </c>
      <c r="F33" s="23">
        <v>4</v>
      </c>
      <c r="G33" s="23">
        <v>9</v>
      </c>
      <c r="H33" s="23">
        <v>3</v>
      </c>
      <c r="I33" s="23">
        <v>4</v>
      </c>
      <c r="J33" s="23">
        <v>9</v>
      </c>
      <c r="K33" s="23">
        <v>5</v>
      </c>
      <c r="L33" s="65">
        <v>0</v>
      </c>
    </row>
    <row r="35" spans="2:15">
      <c r="C35" s="23">
        <v>0</v>
      </c>
      <c r="D35" s="63" t="s">
        <v>164</v>
      </c>
      <c r="E35" s="63" t="s">
        <v>164</v>
      </c>
      <c r="F35" s="63" t="s">
        <v>164</v>
      </c>
      <c r="G35" s="63" t="s">
        <v>164</v>
      </c>
      <c r="H35" s="64" t="s">
        <v>164</v>
      </c>
      <c r="I35" s="64" t="s">
        <v>166</v>
      </c>
      <c r="J35" s="63" t="s">
        <v>163</v>
      </c>
      <c r="K35" s="63" t="s">
        <v>163</v>
      </c>
      <c r="L35" s="63" t="s">
        <v>163</v>
      </c>
    </row>
    <row r="36" spans="2:15">
      <c r="D36" s="65">
        <v>0</v>
      </c>
      <c r="E36" s="23">
        <v>8</v>
      </c>
      <c r="F36" s="23">
        <v>4</v>
      </c>
      <c r="G36" s="23">
        <v>9</v>
      </c>
      <c r="H36" s="23">
        <v>3</v>
      </c>
      <c r="I36" s="23">
        <v>4</v>
      </c>
      <c r="J36" s="23">
        <v>9</v>
      </c>
      <c r="K36" s="65">
        <v>4</v>
      </c>
      <c r="L36" s="65">
        <v>0</v>
      </c>
    </row>
    <row r="39" spans="2:15">
      <c r="B39" s="23" t="s">
        <v>169</v>
      </c>
      <c r="D39" s="23">
        <v>9</v>
      </c>
      <c r="E39" s="23">
        <v>5</v>
      </c>
    </row>
    <row r="40" spans="2:15">
      <c r="D40" s="63" t="s">
        <v>164</v>
      </c>
      <c r="E40" s="63" t="s">
        <v>164</v>
      </c>
      <c r="F40" s="64" t="s">
        <v>164</v>
      </c>
      <c r="G40" s="64" t="s">
        <v>163</v>
      </c>
      <c r="H40" s="63" t="s">
        <v>164</v>
      </c>
      <c r="I40" s="64" t="s">
        <v>164</v>
      </c>
      <c r="J40" s="64" t="s">
        <v>163</v>
      </c>
      <c r="K40" s="63" t="s">
        <v>163</v>
      </c>
      <c r="L40" s="63" t="s">
        <v>164</v>
      </c>
      <c r="N40" s="23" t="s">
        <v>167</v>
      </c>
      <c r="O40" s="23" t="s">
        <v>168</v>
      </c>
    </row>
    <row r="41" spans="2:15">
      <c r="D41" s="23">
        <v>5</v>
      </c>
      <c r="E41" s="23">
        <v>8</v>
      </c>
      <c r="F41" s="23">
        <v>4</v>
      </c>
      <c r="G41" s="23">
        <v>9</v>
      </c>
      <c r="H41" s="23">
        <v>3</v>
      </c>
      <c r="I41" s="23">
        <v>4</v>
      </c>
      <c r="J41" s="23">
        <v>9</v>
      </c>
      <c r="K41" s="23">
        <v>5</v>
      </c>
      <c r="L41" s="23">
        <v>4</v>
      </c>
      <c r="N41" s="23">
        <f>SUM(D41:L41)</f>
        <v>51</v>
      </c>
      <c r="O41" s="23">
        <v>38</v>
      </c>
    </row>
  </sheetData>
  <phoneticPr fontId="2" type="noConversion"/>
  <hyperlinks>
    <hyperlink ref="A1" location="목차!A1" display="HOME" xr:uid="{067D7ED7-EF6E-4A79-B65E-D6594FE5668B}"/>
  </hyperlink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02E27-CA5D-498F-859D-6978F4E3432D}">
  <dimension ref="A1:AA27"/>
  <sheetViews>
    <sheetView zoomScale="115" zoomScaleNormal="115" workbookViewId="0">
      <selection activeCell="AE24" sqref="AE24"/>
    </sheetView>
  </sheetViews>
  <sheetFormatPr defaultRowHeight="17.399999999999999"/>
  <cols>
    <col min="2" max="32" width="2.8984375" customWidth="1"/>
  </cols>
  <sheetData>
    <row r="1" spans="1:27" ht="18" thickBot="1">
      <c r="A1" s="19" t="s">
        <v>64</v>
      </c>
    </row>
    <row r="3" spans="1:27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7">
      <c r="C4" s="2"/>
      <c r="D4" s="2"/>
      <c r="E4" s="2"/>
      <c r="F4" s="2"/>
      <c r="P4" s="2"/>
      <c r="Q4" s="2"/>
      <c r="R4" s="2"/>
      <c r="S4" s="2"/>
      <c r="T4" s="2"/>
      <c r="U4" s="2"/>
    </row>
    <row r="5" spans="1:27">
      <c r="C5" s="2"/>
      <c r="D5" s="2"/>
      <c r="E5" s="2"/>
      <c r="F5" s="2"/>
      <c r="T5" s="2"/>
      <c r="U5" s="2"/>
    </row>
    <row r="6" spans="1:27">
      <c r="C6" s="2"/>
      <c r="D6" s="2"/>
      <c r="E6" s="2"/>
      <c r="F6" s="2"/>
      <c r="T6" s="2"/>
      <c r="U6" s="2"/>
    </row>
    <row r="7" spans="1:27">
      <c r="C7" s="2"/>
      <c r="D7" s="2"/>
      <c r="E7" s="2"/>
      <c r="F7" s="2"/>
      <c r="T7" s="2"/>
      <c r="U7" s="2"/>
    </row>
    <row r="8" spans="1:27">
      <c r="C8" s="2"/>
      <c r="D8" s="2"/>
      <c r="E8" s="2"/>
      <c r="F8" s="2"/>
      <c r="T8" s="2"/>
      <c r="U8" s="2"/>
    </row>
    <row r="9" spans="1:27">
      <c r="C9" s="2"/>
      <c r="D9" s="2"/>
      <c r="E9" s="2"/>
      <c r="F9" s="2"/>
      <c r="T9" s="2"/>
      <c r="U9" s="2"/>
    </row>
    <row r="10" spans="1:27">
      <c r="C10" s="2"/>
      <c r="D10" s="2"/>
      <c r="E10" s="2"/>
      <c r="F10" s="2"/>
      <c r="S10" s="2"/>
      <c r="T10" s="2"/>
      <c r="U10" s="2"/>
      <c r="V10" s="2"/>
      <c r="W10" s="2"/>
      <c r="X10" s="2"/>
      <c r="Y10" s="2"/>
      <c r="Z10" s="2"/>
      <c r="AA10" s="2"/>
    </row>
    <row r="11" spans="1:27">
      <c r="C11" s="2"/>
      <c r="D11" s="2"/>
      <c r="E11" s="2"/>
      <c r="F11" s="2"/>
      <c r="S11" s="2"/>
      <c r="T11" s="2"/>
      <c r="U11" s="2"/>
      <c r="V11" s="2"/>
      <c r="W11" s="2"/>
      <c r="X11" s="2"/>
      <c r="Y11" s="2"/>
      <c r="Z11" s="2"/>
      <c r="AA11" s="2"/>
    </row>
    <row r="12" spans="1:27">
      <c r="C12" s="2"/>
      <c r="D12" s="2"/>
      <c r="E12" s="2"/>
      <c r="F12" s="2"/>
      <c r="S12" s="2"/>
      <c r="T12" s="2"/>
      <c r="U12" s="2"/>
      <c r="V12" s="2"/>
      <c r="W12" s="2"/>
      <c r="X12" s="2"/>
      <c r="Y12" s="2"/>
      <c r="Z12" s="2"/>
      <c r="AA12" s="2"/>
    </row>
    <row r="13" spans="1:27">
      <c r="C13" s="2"/>
      <c r="D13" s="2"/>
      <c r="E13" s="2"/>
      <c r="F13" s="2"/>
      <c r="S13" s="2"/>
      <c r="T13" s="2"/>
      <c r="U13" s="2"/>
      <c r="V13" s="2"/>
      <c r="W13" s="2"/>
      <c r="X13" s="2"/>
      <c r="Y13" s="2"/>
      <c r="Z13" s="2"/>
      <c r="AA13" s="2"/>
    </row>
    <row r="14" spans="1:27">
      <c r="C14" s="2"/>
      <c r="D14" s="2"/>
      <c r="E14" s="2"/>
      <c r="F14" s="2"/>
      <c r="G14" s="2"/>
      <c r="H14" s="2"/>
      <c r="I14" s="2"/>
      <c r="J14" s="2"/>
      <c r="S14" s="2"/>
      <c r="T14" s="2"/>
      <c r="U14" s="2"/>
      <c r="V14" s="2"/>
      <c r="W14" s="2"/>
      <c r="X14" s="2"/>
      <c r="Y14" s="2"/>
      <c r="Z14" s="2"/>
      <c r="AA14" s="2"/>
    </row>
    <row r="15" spans="1:27">
      <c r="C15" s="2"/>
      <c r="D15" s="2"/>
      <c r="E15" s="2"/>
      <c r="F15" s="2"/>
      <c r="G15" s="2"/>
      <c r="H15" s="2"/>
      <c r="I15" s="2"/>
      <c r="J15" s="2"/>
      <c r="S15" s="2"/>
      <c r="T15" s="2"/>
      <c r="U15" s="2"/>
      <c r="V15" s="2"/>
      <c r="W15" s="2"/>
      <c r="X15" s="2"/>
      <c r="Y15" s="2"/>
      <c r="Z15" s="2"/>
      <c r="AA15" s="2"/>
    </row>
    <row r="16" spans="1:27">
      <c r="C16" s="2"/>
      <c r="D16" s="2"/>
      <c r="E16" s="2"/>
      <c r="F16" s="2"/>
      <c r="G16" s="2"/>
      <c r="H16" s="2"/>
      <c r="I16" s="2"/>
      <c r="J16" s="2"/>
      <c r="S16" s="2"/>
      <c r="T16" s="2"/>
      <c r="U16" s="2"/>
      <c r="V16" s="2"/>
      <c r="W16" s="2"/>
      <c r="X16" s="2"/>
      <c r="Y16" s="2"/>
      <c r="Z16" s="2"/>
      <c r="AA16" s="2"/>
    </row>
    <row r="17" spans="3:27">
      <c r="C17" s="2"/>
      <c r="D17" s="2"/>
      <c r="E17" s="2"/>
      <c r="F17" s="2"/>
      <c r="G17" s="2"/>
      <c r="H17" s="2"/>
      <c r="I17" s="2"/>
      <c r="J17" s="2"/>
      <c r="S17" s="2"/>
      <c r="T17" s="2"/>
      <c r="U17" s="2"/>
      <c r="V17" s="2"/>
      <c r="W17" s="2"/>
      <c r="X17" s="2"/>
      <c r="Y17" s="2"/>
      <c r="Z17" s="2"/>
      <c r="AA17" s="2"/>
    </row>
    <row r="18" spans="3:27">
      <c r="C18" s="2"/>
      <c r="D18" s="2"/>
      <c r="E18" s="2"/>
      <c r="F18" s="2"/>
      <c r="G18" s="2"/>
      <c r="H18" s="2"/>
      <c r="I18" s="2"/>
      <c r="J18" s="2"/>
      <c r="S18" s="2"/>
      <c r="T18" s="2"/>
      <c r="U18" s="2"/>
      <c r="V18" s="2"/>
      <c r="W18" s="2"/>
      <c r="X18" s="2"/>
      <c r="Y18" s="2"/>
      <c r="Z18" s="2"/>
      <c r="AA18" s="2"/>
    </row>
    <row r="19" spans="3:27">
      <c r="C19" s="2"/>
      <c r="D19" s="2"/>
      <c r="E19" s="2"/>
      <c r="F19" s="2"/>
      <c r="G19" s="2"/>
      <c r="H19" s="2"/>
      <c r="I19" s="2"/>
      <c r="J19" s="2"/>
      <c r="K19" s="2"/>
      <c r="L19" s="2"/>
      <c r="S19" s="2"/>
      <c r="T19" s="2"/>
      <c r="U19" s="2"/>
      <c r="V19" s="2"/>
      <c r="W19" s="2"/>
      <c r="X19" s="2"/>
      <c r="Y19" s="2"/>
      <c r="Z19" s="2"/>
      <c r="AA19" s="2"/>
    </row>
    <row r="20" spans="3:27"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3:27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3:27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3:27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3:27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3:27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3:27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3:27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</sheetData>
  <phoneticPr fontId="2" type="noConversion"/>
  <hyperlinks>
    <hyperlink ref="A1" location="목차!A1" display="HOME" xr:uid="{1A31E8C7-5269-46BA-87FF-557D36FB80A2}"/>
  </hyperlink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B5834-1D91-4533-BD5D-29BFA7D28D11}">
  <dimension ref="A1:W50"/>
  <sheetViews>
    <sheetView topLeftCell="A3" zoomScale="130" zoomScaleNormal="130" workbookViewId="0">
      <selection activeCell="AA37" sqref="AA37"/>
    </sheetView>
  </sheetViews>
  <sheetFormatPr defaultRowHeight="17.399999999999999"/>
  <cols>
    <col min="2" max="2" width="7" bestFit="1" customWidth="1"/>
    <col min="3" max="3" width="13.3984375" bestFit="1" customWidth="1"/>
    <col min="4" max="27" width="5.3984375" customWidth="1"/>
  </cols>
  <sheetData>
    <row r="1" spans="1:23" ht="18" thickBot="1">
      <c r="A1" s="19" t="s">
        <v>64</v>
      </c>
    </row>
    <row r="2" spans="1:2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2:2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2:2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2:2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2:2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2:2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2:2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2:2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2:2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2:2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2:2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2:2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2:2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2:23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2:23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2:23">
      <c r="B31" s="2" t="s">
        <v>151</v>
      </c>
      <c r="C31" s="2">
        <v>2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2:23">
      <c r="B32" s="2"/>
      <c r="C32" s="2"/>
      <c r="D32" s="33">
        <v>1</v>
      </c>
      <c r="E32" s="33">
        <v>2</v>
      </c>
      <c r="F32" s="33">
        <v>3</v>
      </c>
      <c r="G32" s="33">
        <v>4</v>
      </c>
      <c r="H32" s="33">
        <v>5</v>
      </c>
      <c r="I32" s="33">
        <v>6</v>
      </c>
      <c r="J32" s="33">
        <v>7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2:23">
      <c r="B33" s="2"/>
      <c r="C33" s="2"/>
      <c r="D33" s="21">
        <v>1</v>
      </c>
      <c r="E33" s="21">
        <v>2</v>
      </c>
      <c r="F33" s="21">
        <v>4</v>
      </c>
      <c r="G33" s="21">
        <v>7</v>
      </c>
      <c r="H33" s="21">
        <v>12</v>
      </c>
      <c r="I33" s="21">
        <v>20</v>
      </c>
      <c r="J33" s="21">
        <v>100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2:23">
      <c r="B34" s="2" t="s">
        <v>152</v>
      </c>
      <c r="C34" s="2">
        <v>7</v>
      </c>
      <c r="D34" s="2">
        <f>ABS($C$34-D33)</f>
        <v>6</v>
      </c>
      <c r="E34" s="2">
        <f t="shared" ref="E34:J34" si="0">ABS($C$34-E33)</f>
        <v>5</v>
      </c>
      <c r="F34" s="2">
        <f t="shared" si="0"/>
        <v>3</v>
      </c>
      <c r="G34" s="2">
        <f t="shared" si="0"/>
        <v>0</v>
      </c>
      <c r="H34" s="2">
        <f t="shared" si="0"/>
        <v>5</v>
      </c>
      <c r="I34" s="2">
        <f t="shared" si="0"/>
        <v>13</v>
      </c>
      <c r="J34" s="2">
        <f t="shared" si="0"/>
        <v>93</v>
      </c>
      <c r="K34" s="2"/>
      <c r="L34" s="2">
        <f>SUM(D34:J34)</f>
        <v>125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2:23">
      <c r="B35" s="2" t="s">
        <v>153</v>
      </c>
      <c r="C35" s="2">
        <v>20</v>
      </c>
      <c r="D35" s="2">
        <f>ABS($C$35-D33)</f>
        <v>19</v>
      </c>
      <c r="E35" s="2">
        <f t="shared" ref="E35:J35" si="1">ABS($C$35-E33)</f>
        <v>18</v>
      </c>
      <c r="F35" s="2">
        <f t="shared" si="1"/>
        <v>16</v>
      </c>
      <c r="G35" s="2">
        <f t="shared" si="1"/>
        <v>13</v>
      </c>
      <c r="H35" s="2">
        <f t="shared" si="1"/>
        <v>8</v>
      </c>
      <c r="I35" s="2">
        <f t="shared" si="1"/>
        <v>0</v>
      </c>
      <c r="J35" s="2">
        <f t="shared" si="1"/>
        <v>80</v>
      </c>
      <c r="K35" s="2"/>
      <c r="L35" s="2">
        <f>SUM(D35:J35)</f>
        <v>154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2:23">
      <c r="B36" s="2" t="s">
        <v>151</v>
      </c>
      <c r="C36" s="2">
        <f>SUM(D33:J33) / 7</f>
        <v>20.857142857142858</v>
      </c>
      <c r="D36" s="2">
        <f>ABS($C$36-D33)</f>
        <v>19.857142857142858</v>
      </c>
      <c r="E36" s="2">
        <f t="shared" ref="E36:J36" si="2">ABS($C$36-E33)</f>
        <v>18.857142857142858</v>
      </c>
      <c r="F36" s="2">
        <f t="shared" si="2"/>
        <v>16.857142857142858</v>
      </c>
      <c r="G36" s="2">
        <f t="shared" si="2"/>
        <v>13.857142857142858</v>
      </c>
      <c r="H36" s="2">
        <f t="shared" si="2"/>
        <v>8.8571428571428577</v>
      </c>
      <c r="I36" s="2">
        <f t="shared" si="2"/>
        <v>0.85714285714285765</v>
      </c>
      <c r="J36" s="2">
        <f t="shared" si="2"/>
        <v>79.142857142857139</v>
      </c>
      <c r="K36" s="2"/>
      <c r="L36" s="2">
        <f>SUM(D36:J36)</f>
        <v>158.28571428571428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2:2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2:23">
      <c r="B38" s="2"/>
      <c r="C38" s="2"/>
      <c r="D38" s="33">
        <v>1</v>
      </c>
      <c r="E38" s="33">
        <v>2</v>
      </c>
      <c r="F38" s="33">
        <v>3</v>
      </c>
      <c r="G38" s="33">
        <v>4</v>
      </c>
      <c r="H38" s="33">
        <v>5</v>
      </c>
      <c r="I38" s="33">
        <v>6</v>
      </c>
      <c r="J38" s="33">
        <v>7</v>
      </c>
      <c r="K38" s="33">
        <v>8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2:23">
      <c r="B39" s="2" t="s">
        <v>154</v>
      </c>
      <c r="C39" s="2"/>
      <c r="D39" s="21">
        <v>1</v>
      </c>
      <c r="E39" s="21">
        <v>2</v>
      </c>
      <c r="F39" s="21">
        <v>4</v>
      </c>
      <c r="G39" s="21">
        <v>7</v>
      </c>
      <c r="H39" s="21">
        <v>12</v>
      </c>
      <c r="I39" s="21">
        <v>20</v>
      </c>
      <c r="J39" s="21">
        <v>100</v>
      </c>
      <c r="K39" s="21">
        <v>900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2:23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2:23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2:23">
      <c r="B42" s="2"/>
      <c r="C42" s="2"/>
      <c r="D42" s="33">
        <v>1</v>
      </c>
      <c r="E42" s="33">
        <v>2</v>
      </c>
      <c r="F42" s="33">
        <v>3</v>
      </c>
      <c r="G42" s="33">
        <v>4</v>
      </c>
      <c r="H42" s="33">
        <v>5</v>
      </c>
      <c r="I42" s="33">
        <v>6</v>
      </c>
      <c r="J42" s="33">
        <v>7</v>
      </c>
      <c r="K42" s="33">
        <v>8</v>
      </c>
      <c r="L42" s="33">
        <v>9</v>
      </c>
      <c r="M42" s="33">
        <v>10</v>
      </c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2:23">
      <c r="B43" s="2"/>
      <c r="C43" s="62" t="s">
        <v>155</v>
      </c>
      <c r="D43" s="2">
        <v>1</v>
      </c>
      <c r="E43" s="2">
        <v>1</v>
      </c>
      <c r="F43" s="2">
        <v>4</v>
      </c>
      <c r="G43" s="2">
        <v>3</v>
      </c>
      <c r="H43" s="2">
        <v>2</v>
      </c>
      <c r="I43" s="2">
        <v>3</v>
      </c>
      <c r="J43" s="2">
        <v>1</v>
      </c>
      <c r="K43" s="2">
        <v>5</v>
      </c>
      <c r="L43" s="2">
        <v>7</v>
      </c>
      <c r="M43" s="2">
        <v>9</v>
      </c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2:23">
      <c r="B44" s="2"/>
      <c r="C44" s="2" t="s">
        <v>156</v>
      </c>
      <c r="D44" s="2">
        <v>1</v>
      </c>
      <c r="E44" s="2">
        <v>1</v>
      </c>
      <c r="F44" s="2">
        <v>1</v>
      </c>
      <c r="G44" s="2">
        <v>2</v>
      </c>
      <c r="H44" s="2">
        <v>3</v>
      </c>
      <c r="I44" s="2">
        <v>3</v>
      </c>
      <c r="J44" s="2">
        <v>4</v>
      </c>
      <c r="K44" s="2">
        <v>5</v>
      </c>
      <c r="L44" s="2">
        <v>7</v>
      </c>
      <c r="M44" s="2">
        <v>9</v>
      </c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2:23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2:2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2:23">
      <c r="B47" s="2"/>
      <c r="C47" s="2" t="s">
        <v>157</v>
      </c>
      <c r="D47" s="33">
        <v>1</v>
      </c>
      <c r="E47" s="33">
        <v>2</v>
      </c>
      <c r="F47" s="33">
        <v>3</v>
      </c>
      <c r="G47" s="33">
        <v>4</v>
      </c>
      <c r="H47" s="33">
        <v>5</v>
      </c>
      <c r="I47" s="33">
        <v>6</v>
      </c>
      <c r="J47" s="33">
        <v>7</v>
      </c>
      <c r="K47" s="33">
        <v>8</v>
      </c>
      <c r="L47" s="33">
        <v>9</v>
      </c>
      <c r="M47" s="33">
        <v>10</v>
      </c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2:23">
      <c r="B48" s="2"/>
      <c r="C48" s="2" t="s">
        <v>158</v>
      </c>
      <c r="D48" s="2">
        <v>3</v>
      </c>
      <c r="E48" s="2">
        <v>1</v>
      </c>
      <c r="F48" s="2">
        <v>2</v>
      </c>
      <c r="G48" s="2">
        <v>1</v>
      </c>
      <c r="H48" s="2">
        <v>1</v>
      </c>
      <c r="I48" s="2"/>
      <c r="J48" s="2">
        <v>1</v>
      </c>
      <c r="K48" s="2"/>
      <c r="L48" s="2">
        <v>1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2:23">
      <c r="B49" s="2"/>
      <c r="C49" s="2">
        <v>5</v>
      </c>
      <c r="D49" s="2">
        <f>C49-D48</f>
        <v>2</v>
      </c>
      <c r="E49" s="2">
        <f t="shared" ref="E49:F49" si="3">D49-E48</f>
        <v>1</v>
      </c>
      <c r="F49" s="2">
        <f t="shared" si="3"/>
        <v>-1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2:23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</sheetData>
  <phoneticPr fontId="2" type="noConversion"/>
  <hyperlinks>
    <hyperlink ref="A1" location="목차!A1" display="HOME" xr:uid="{AF114BD5-E14D-41E3-A8A1-9B04AEB7CC43}"/>
  </hyperlink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1A85E-D200-46AD-827C-CD51A2BACF1F}">
  <dimension ref="A1:O51"/>
  <sheetViews>
    <sheetView workbookViewId="0">
      <selection activeCell="S18" sqref="S18"/>
    </sheetView>
  </sheetViews>
  <sheetFormatPr defaultRowHeight="17.399999999999999"/>
  <sheetData>
    <row r="1" spans="1:15" ht="18" thickBot="1">
      <c r="A1" s="19" t="s">
        <v>64</v>
      </c>
    </row>
    <row r="3" spans="1:15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15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spans="1:15"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1:15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15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spans="1:15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1:15"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15"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spans="1:15"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</row>
    <row r="16" spans="1:15"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spans="2:15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2:15"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2:15"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2:15"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spans="2:15"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spans="2:15"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2:15"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spans="2:15"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2:15"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2:15"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</row>
    <row r="27" spans="2:15"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spans="2:15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2:15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2:15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spans="2:15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2:15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2:15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spans="2:15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</row>
    <row r="35" spans="2:1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spans="2:15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</row>
    <row r="37" spans="2:15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</row>
    <row r="38" spans="2:15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2:15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spans="2:15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spans="2:15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</row>
    <row r="42" spans="2:15"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</row>
    <row r="43" spans="2:15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</row>
    <row r="44" spans="2:15"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</row>
    <row r="45" spans="2:15"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</row>
    <row r="46" spans="2:15"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</row>
    <row r="47" spans="2:15"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2:15"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</row>
    <row r="49" spans="2:15"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</row>
    <row r="50" spans="2:15"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</row>
    <row r="51" spans="2:15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</row>
  </sheetData>
  <phoneticPr fontId="2" type="noConversion"/>
  <hyperlinks>
    <hyperlink ref="A1" location="목차!A1" display="HOME" xr:uid="{0AEE4066-356F-4B95-B844-9154377C0BD2}"/>
  </hyperlink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A7934-02E1-4CEE-BBDF-149F87A4C879}">
  <dimension ref="A1:AN74"/>
  <sheetViews>
    <sheetView topLeftCell="A6" zoomScale="115" zoomScaleNormal="115" workbookViewId="0">
      <selection activeCell="W17" sqref="W17"/>
    </sheetView>
  </sheetViews>
  <sheetFormatPr defaultColWidth="5.796875" defaultRowHeight="22.8" customHeight="1"/>
  <cols>
    <col min="1" max="1" width="10.3984375" style="2" customWidth="1"/>
    <col min="2" max="62" width="3.59765625" style="2" customWidth="1"/>
    <col min="63" max="16384" width="5.796875" style="2"/>
  </cols>
  <sheetData>
    <row r="1" spans="1:13" ht="22.8" customHeight="1" thickBot="1">
      <c r="A1" s="19" t="s">
        <v>64</v>
      </c>
    </row>
    <row r="2" spans="1:13" ht="22.8" customHeight="1">
      <c r="C2" s="2" t="s">
        <v>175</v>
      </c>
      <c r="D2" s="2" t="s">
        <v>174</v>
      </c>
    </row>
    <row r="3" spans="1:13" ht="22.8" customHeight="1">
      <c r="C3" s="2">
        <v>3</v>
      </c>
      <c r="D3" s="2">
        <v>4</v>
      </c>
      <c r="F3" s="102" t="s">
        <v>173</v>
      </c>
      <c r="G3" s="102"/>
      <c r="H3" s="102"/>
      <c r="I3" s="102"/>
      <c r="J3" s="102"/>
      <c r="K3" s="102"/>
      <c r="L3" s="102"/>
    </row>
    <row r="4" spans="1:13" ht="22.8" customHeight="1">
      <c r="E4" s="2" t="s">
        <v>65</v>
      </c>
      <c r="K4" s="2" t="s">
        <v>65</v>
      </c>
    </row>
    <row r="5" spans="1:13" ht="22.8" customHeight="1">
      <c r="B5" s="2" t="s">
        <v>176</v>
      </c>
      <c r="D5" s="20">
        <v>0</v>
      </c>
      <c r="E5" s="20">
        <v>1</v>
      </c>
      <c r="F5" s="20">
        <v>2</v>
      </c>
      <c r="H5" s="2" t="s">
        <v>177</v>
      </c>
      <c r="J5" s="20">
        <v>0</v>
      </c>
      <c r="K5" s="20">
        <v>1</v>
      </c>
      <c r="L5" s="20">
        <v>2</v>
      </c>
      <c r="M5" s="20">
        <v>3</v>
      </c>
    </row>
    <row r="6" spans="1:13" ht="22.8" customHeight="1">
      <c r="C6" s="20">
        <v>0</v>
      </c>
      <c r="D6" s="21">
        <v>1</v>
      </c>
      <c r="E6" s="21">
        <v>2</v>
      </c>
      <c r="F6" s="21">
        <v>3</v>
      </c>
      <c r="I6" s="20">
        <v>0</v>
      </c>
      <c r="J6" s="21" t="s">
        <v>170</v>
      </c>
      <c r="K6" s="21">
        <v>7</v>
      </c>
      <c r="L6" s="21">
        <v>4</v>
      </c>
      <c r="M6" s="21">
        <v>1</v>
      </c>
    </row>
    <row r="7" spans="1:13" ht="22.8" customHeight="1">
      <c r="B7" s="2" t="s">
        <v>66</v>
      </c>
      <c r="C7" s="20">
        <v>1</v>
      </c>
      <c r="D7" s="21">
        <v>4</v>
      </c>
      <c r="E7" s="21">
        <v>5</v>
      </c>
      <c r="F7" s="21">
        <v>6</v>
      </c>
      <c r="H7" s="2" t="s">
        <v>66</v>
      </c>
      <c r="I7" s="20">
        <v>1</v>
      </c>
      <c r="J7" s="21" t="s">
        <v>171</v>
      </c>
      <c r="K7" s="21">
        <v>8</v>
      </c>
      <c r="L7" s="21">
        <v>5</v>
      </c>
      <c r="M7" s="21">
        <v>2</v>
      </c>
    </row>
    <row r="8" spans="1:13" ht="22.8" customHeight="1">
      <c r="C8" s="20">
        <v>2</v>
      </c>
      <c r="D8" s="21">
        <v>7</v>
      </c>
      <c r="E8" s="21">
        <v>8</v>
      </c>
      <c r="F8" s="21">
        <v>9</v>
      </c>
      <c r="I8" s="20">
        <v>2</v>
      </c>
      <c r="J8" s="21" t="s">
        <v>172</v>
      </c>
      <c r="K8" s="21">
        <v>9</v>
      </c>
      <c r="L8" s="21">
        <v>6</v>
      </c>
      <c r="M8" s="21">
        <v>3</v>
      </c>
    </row>
    <row r="9" spans="1:13" ht="22.8" customHeight="1">
      <c r="C9" s="20">
        <v>3</v>
      </c>
      <c r="D9" s="21" t="s">
        <v>170</v>
      </c>
      <c r="E9" s="21" t="s">
        <v>171</v>
      </c>
      <c r="F9" s="21" t="s">
        <v>172</v>
      </c>
    </row>
    <row r="10" spans="1:13" ht="22.8" customHeight="1">
      <c r="C10" s="15"/>
      <c r="D10" s="15"/>
      <c r="E10" s="15"/>
      <c r="F10" s="15"/>
      <c r="G10" s="15"/>
      <c r="H10" s="15"/>
      <c r="I10" s="15"/>
      <c r="J10" s="15"/>
      <c r="K10" s="15"/>
    </row>
    <row r="11" spans="1:13" ht="22.8" customHeight="1">
      <c r="C11" s="66" t="s">
        <v>178</v>
      </c>
      <c r="D11" s="67"/>
      <c r="E11" s="67"/>
      <c r="F11" s="67"/>
      <c r="G11" s="67"/>
      <c r="H11" s="67"/>
      <c r="I11" s="67"/>
      <c r="J11" s="67"/>
      <c r="K11" s="67"/>
      <c r="L11" s="67"/>
      <c r="M11" s="67"/>
    </row>
    <row r="12" spans="1:13" ht="22.8" customHeight="1"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</row>
    <row r="13" spans="1:13" ht="22.8" customHeight="1"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</row>
    <row r="14" spans="1:13" ht="22.8" customHeight="1"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</row>
    <row r="17" spans="2:40" ht="22.8" customHeight="1">
      <c r="C17" s="2" t="s">
        <v>175</v>
      </c>
      <c r="D17" s="2" t="s">
        <v>174</v>
      </c>
    </row>
    <row r="18" spans="2:40" ht="22.8" customHeight="1">
      <c r="C18" s="2">
        <v>3</v>
      </c>
      <c r="D18" s="2">
        <v>4</v>
      </c>
      <c r="F18" s="102" t="s">
        <v>179</v>
      </c>
      <c r="G18" s="102"/>
      <c r="H18" s="102"/>
      <c r="I18" s="102"/>
      <c r="J18" s="102"/>
      <c r="K18" s="102"/>
      <c r="L18" s="102"/>
    </row>
    <row r="19" spans="2:40" ht="22.8" customHeight="1">
      <c r="E19" s="2" t="s">
        <v>65</v>
      </c>
      <c r="K19" s="2" t="s">
        <v>65</v>
      </c>
      <c r="S19" s="2" t="s">
        <v>65</v>
      </c>
      <c r="AC19" s="2" t="s">
        <v>65</v>
      </c>
      <c r="AM19" s="2" t="s">
        <v>65</v>
      </c>
    </row>
    <row r="20" spans="2:40" ht="22.8" customHeight="1">
      <c r="B20" s="2" t="s">
        <v>176</v>
      </c>
      <c r="D20" s="20">
        <v>0</v>
      </c>
      <c r="E20" s="20">
        <v>1</v>
      </c>
      <c r="F20" s="20">
        <v>2</v>
      </c>
      <c r="H20" s="2" t="s">
        <v>177</v>
      </c>
      <c r="J20" s="20">
        <v>0</v>
      </c>
      <c r="K20" s="20">
        <v>1</v>
      </c>
      <c r="L20" s="20">
        <v>2</v>
      </c>
      <c r="P20" s="2" t="s">
        <v>176</v>
      </c>
      <c r="R20" s="20">
        <v>0</v>
      </c>
      <c r="S20" s="20">
        <v>1</v>
      </c>
      <c r="T20" s="20">
        <v>2</v>
      </c>
      <c r="AB20" s="20">
        <v>0</v>
      </c>
      <c r="AC20" s="20">
        <v>1</v>
      </c>
      <c r="AD20" s="20">
        <v>2</v>
      </c>
      <c r="AL20" s="20">
        <v>0</v>
      </c>
      <c r="AM20" s="20">
        <v>1</v>
      </c>
      <c r="AN20" s="20">
        <v>2</v>
      </c>
    </row>
    <row r="21" spans="2:40" ht="22.8" customHeight="1">
      <c r="C21" s="20">
        <v>0</v>
      </c>
      <c r="D21" s="21">
        <v>1</v>
      </c>
      <c r="E21" s="21">
        <v>2</v>
      </c>
      <c r="F21" s="21">
        <v>3</v>
      </c>
      <c r="I21" s="20">
        <v>0</v>
      </c>
      <c r="J21" s="21" t="s">
        <v>172</v>
      </c>
      <c r="K21" s="21" t="s">
        <v>171</v>
      </c>
      <c r="L21" s="21" t="s">
        <v>170</v>
      </c>
      <c r="Q21" s="20">
        <v>0</v>
      </c>
      <c r="R21" s="21">
        <v>1</v>
      </c>
      <c r="S21" s="21">
        <v>2</v>
      </c>
      <c r="T21" s="21">
        <v>3</v>
      </c>
      <c r="AA21" s="20">
        <v>0</v>
      </c>
      <c r="AB21" s="21" t="s">
        <v>170</v>
      </c>
      <c r="AC21" s="21" t="s">
        <v>171</v>
      </c>
      <c r="AD21" s="21" t="s">
        <v>172</v>
      </c>
      <c r="AK21" s="20">
        <v>0</v>
      </c>
      <c r="AL21" s="21" t="s">
        <v>172</v>
      </c>
      <c r="AM21" s="21" t="s">
        <v>171</v>
      </c>
      <c r="AN21" s="21" t="s">
        <v>170</v>
      </c>
    </row>
    <row r="22" spans="2:40" ht="22.8" customHeight="1">
      <c r="B22" s="2" t="s">
        <v>66</v>
      </c>
      <c r="C22" s="20">
        <v>1</v>
      </c>
      <c r="D22" s="21">
        <v>4</v>
      </c>
      <c r="E22" s="21">
        <v>5</v>
      </c>
      <c r="F22" s="21">
        <v>6</v>
      </c>
      <c r="H22" s="2" t="s">
        <v>66</v>
      </c>
      <c r="I22" s="20">
        <v>1</v>
      </c>
      <c r="J22" s="21">
        <v>9</v>
      </c>
      <c r="K22" s="21">
        <v>8</v>
      </c>
      <c r="L22" s="21">
        <v>7</v>
      </c>
      <c r="P22" s="2" t="s">
        <v>66</v>
      </c>
      <c r="Q22" s="20">
        <v>1</v>
      </c>
      <c r="R22" s="21">
        <v>4</v>
      </c>
      <c r="S22" s="21">
        <v>5</v>
      </c>
      <c r="T22" s="21">
        <v>6</v>
      </c>
      <c r="Z22" s="2" t="s">
        <v>66</v>
      </c>
      <c r="AA22" s="20">
        <v>1</v>
      </c>
      <c r="AB22" s="21">
        <v>7</v>
      </c>
      <c r="AC22" s="21">
        <v>8</v>
      </c>
      <c r="AD22" s="21">
        <v>9</v>
      </c>
      <c r="AJ22" s="2" t="s">
        <v>66</v>
      </c>
      <c r="AK22" s="20">
        <v>1</v>
      </c>
      <c r="AL22" s="21">
        <v>9</v>
      </c>
      <c r="AM22" s="21">
        <v>8</v>
      </c>
      <c r="AN22" s="21">
        <v>7</v>
      </c>
    </row>
    <row r="23" spans="2:40" ht="22.8" customHeight="1">
      <c r="C23" s="20">
        <v>2</v>
      </c>
      <c r="D23" s="21">
        <v>7</v>
      </c>
      <c r="E23" s="21">
        <v>8</v>
      </c>
      <c r="F23" s="21">
        <v>9</v>
      </c>
      <c r="I23" s="20">
        <v>2</v>
      </c>
      <c r="J23" s="21">
        <v>6</v>
      </c>
      <c r="K23" s="21">
        <v>5</v>
      </c>
      <c r="L23" s="21">
        <v>4</v>
      </c>
      <c r="Q23" s="20">
        <v>2</v>
      </c>
      <c r="R23" s="21">
        <v>7</v>
      </c>
      <c r="S23" s="21">
        <v>8</v>
      </c>
      <c r="T23" s="21">
        <v>9</v>
      </c>
      <c r="AA23" s="20">
        <v>2</v>
      </c>
      <c r="AB23" s="21">
        <v>4</v>
      </c>
      <c r="AC23" s="21">
        <v>5</v>
      </c>
      <c r="AD23" s="21">
        <v>6</v>
      </c>
      <c r="AK23" s="20">
        <v>2</v>
      </c>
      <c r="AL23" s="21">
        <v>6</v>
      </c>
      <c r="AM23" s="21">
        <v>5</v>
      </c>
      <c r="AN23" s="21">
        <v>4</v>
      </c>
    </row>
    <row r="24" spans="2:40" ht="22.8" customHeight="1">
      <c r="C24" s="20">
        <v>3</v>
      </c>
      <c r="D24" s="21" t="s">
        <v>170</v>
      </c>
      <c r="E24" s="21" t="s">
        <v>171</v>
      </c>
      <c r="F24" s="21" t="s">
        <v>172</v>
      </c>
      <c r="I24" s="20">
        <v>3</v>
      </c>
      <c r="J24" s="21">
        <v>3</v>
      </c>
      <c r="K24" s="21">
        <v>2</v>
      </c>
      <c r="L24" s="21">
        <v>1</v>
      </c>
      <c r="Q24" s="20">
        <v>3</v>
      </c>
      <c r="R24" s="21" t="s">
        <v>170</v>
      </c>
      <c r="S24" s="21" t="s">
        <v>171</v>
      </c>
      <c r="T24" s="21" t="s">
        <v>172</v>
      </c>
      <c r="AA24" s="20">
        <v>3</v>
      </c>
      <c r="AB24" s="21">
        <v>1</v>
      </c>
      <c r="AC24" s="21">
        <v>2</v>
      </c>
      <c r="AD24" s="21">
        <v>3</v>
      </c>
      <c r="AK24" s="20">
        <v>3</v>
      </c>
      <c r="AL24" s="21">
        <v>3</v>
      </c>
      <c r="AM24" s="21">
        <v>2</v>
      </c>
      <c r="AN24" s="21">
        <v>1</v>
      </c>
    </row>
    <row r="25" spans="2:40" ht="22.8" customHeight="1">
      <c r="C25" s="15"/>
      <c r="D25" s="15"/>
      <c r="E25" s="15"/>
      <c r="F25" s="15"/>
      <c r="G25" s="15"/>
      <c r="H25" s="15"/>
      <c r="I25" s="15"/>
      <c r="J25" s="15"/>
      <c r="K25" s="15"/>
    </row>
    <row r="26" spans="2:40" ht="22.8" customHeight="1">
      <c r="C26" s="66" t="s">
        <v>178</v>
      </c>
      <c r="D26" s="67"/>
      <c r="E26" s="67"/>
      <c r="F26" s="67"/>
      <c r="G26" s="67"/>
      <c r="H26" s="67"/>
      <c r="I26" s="67"/>
      <c r="J26" s="67"/>
      <c r="K26" s="67"/>
      <c r="L26" s="67"/>
      <c r="M26" s="67"/>
    </row>
    <row r="27" spans="2:40" ht="22.8" customHeight="1"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</row>
    <row r="28" spans="2:40" ht="22.8" customHeight="1"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</row>
    <row r="29" spans="2:40" ht="22.8" customHeight="1"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</row>
    <row r="32" spans="2:40" ht="22.8" customHeight="1">
      <c r="C32" s="2" t="s">
        <v>175</v>
      </c>
      <c r="D32" s="2" t="s">
        <v>174</v>
      </c>
    </row>
    <row r="33" spans="2:13" ht="22.8" customHeight="1">
      <c r="C33" s="2">
        <v>3</v>
      </c>
      <c r="D33" s="2">
        <v>4</v>
      </c>
      <c r="F33" s="102" t="s">
        <v>180</v>
      </c>
      <c r="G33" s="102"/>
      <c r="H33" s="102"/>
      <c r="I33" s="102"/>
      <c r="J33" s="102"/>
      <c r="K33" s="102"/>
      <c r="L33" s="102"/>
    </row>
    <row r="34" spans="2:13" ht="22.8" customHeight="1">
      <c r="E34" s="2" t="s">
        <v>65</v>
      </c>
      <c r="K34" s="2" t="s">
        <v>65</v>
      </c>
    </row>
    <row r="35" spans="2:13" ht="22.8" customHeight="1">
      <c r="B35" s="2" t="s">
        <v>176</v>
      </c>
      <c r="D35" s="20">
        <v>0</v>
      </c>
      <c r="E35" s="20">
        <v>1</v>
      </c>
      <c r="F35" s="20">
        <v>2</v>
      </c>
      <c r="H35" s="2" t="s">
        <v>177</v>
      </c>
      <c r="J35" s="20">
        <v>0</v>
      </c>
      <c r="K35" s="20">
        <v>1</v>
      </c>
      <c r="L35" s="20">
        <v>2</v>
      </c>
      <c r="M35" s="20">
        <v>3</v>
      </c>
    </row>
    <row r="36" spans="2:13" ht="22.8" customHeight="1">
      <c r="C36" s="20">
        <v>0</v>
      </c>
      <c r="D36" s="21">
        <v>1</v>
      </c>
      <c r="E36" s="21">
        <v>2</v>
      </c>
      <c r="F36" s="21">
        <v>3</v>
      </c>
      <c r="I36" s="20">
        <v>0</v>
      </c>
      <c r="J36" s="21">
        <v>3</v>
      </c>
      <c r="K36" s="21">
        <v>6</v>
      </c>
      <c r="L36" s="21">
        <v>9</v>
      </c>
      <c r="M36" s="21" t="s">
        <v>172</v>
      </c>
    </row>
    <row r="37" spans="2:13" ht="22.8" customHeight="1">
      <c r="B37" s="2" t="s">
        <v>66</v>
      </c>
      <c r="C37" s="20">
        <v>1</v>
      </c>
      <c r="D37" s="21">
        <v>4</v>
      </c>
      <c r="E37" s="21">
        <v>5</v>
      </c>
      <c r="F37" s="21">
        <v>6</v>
      </c>
      <c r="H37" s="2" t="s">
        <v>66</v>
      </c>
      <c r="I37" s="20">
        <v>1</v>
      </c>
      <c r="J37" s="21">
        <v>2</v>
      </c>
      <c r="K37" s="21">
        <v>5</v>
      </c>
      <c r="L37" s="21">
        <v>8</v>
      </c>
      <c r="M37" s="21" t="s">
        <v>171</v>
      </c>
    </row>
    <row r="38" spans="2:13" ht="22.8" customHeight="1">
      <c r="C38" s="20">
        <v>2</v>
      </c>
      <c r="D38" s="21">
        <v>7</v>
      </c>
      <c r="E38" s="21">
        <v>8</v>
      </c>
      <c r="F38" s="21">
        <v>9</v>
      </c>
      <c r="I38" s="20">
        <v>2</v>
      </c>
      <c r="J38" s="21">
        <v>1</v>
      </c>
      <c r="K38" s="21">
        <v>4</v>
      </c>
      <c r="L38" s="21">
        <v>7</v>
      </c>
      <c r="M38" s="21" t="s">
        <v>170</v>
      </c>
    </row>
    <row r="39" spans="2:13" ht="22.8" customHeight="1">
      <c r="C39" s="20">
        <v>3</v>
      </c>
      <c r="D39" s="21" t="s">
        <v>170</v>
      </c>
      <c r="E39" s="21" t="s">
        <v>171</v>
      </c>
      <c r="F39" s="21" t="s">
        <v>172</v>
      </c>
    </row>
    <row r="40" spans="2:13" ht="22.8" customHeight="1">
      <c r="C40" s="15"/>
      <c r="D40" s="15"/>
      <c r="E40" s="15"/>
      <c r="F40" s="15"/>
      <c r="G40" s="15"/>
      <c r="H40" s="15"/>
      <c r="I40" s="15"/>
      <c r="J40" s="15"/>
      <c r="K40" s="15"/>
    </row>
    <row r="41" spans="2:13" ht="22.8" customHeight="1">
      <c r="C41" s="66" t="s">
        <v>178</v>
      </c>
      <c r="D41" s="67"/>
      <c r="E41" s="67"/>
      <c r="F41" s="67"/>
      <c r="G41" s="67"/>
      <c r="H41" s="67"/>
      <c r="I41" s="67"/>
      <c r="J41" s="67"/>
      <c r="K41" s="67"/>
      <c r="L41" s="67"/>
      <c r="M41" s="67"/>
    </row>
    <row r="42" spans="2:13" ht="22.8" customHeight="1"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</row>
    <row r="43" spans="2:13" ht="22.8" customHeight="1"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</row>
    <row r="44" spans="2:13" ht="22.8" customHeight="1"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</row>
    <row r="47" spans="2:13" ht="22.8" customHeight="1">
      <c r="C47" s="2" t="s">
        <v>175</v>
      </c>
      <c r="D47" s="2" t="s">
        <v>174</v>
      </c>
    </row>
    <row r="48" spans="2:13" ht="22.8" customHeight="1">
      <c r="C48" s="2">
        <v>3</v>
      </c>
      <c r="D48" s="2">
        <v>4</v>
      </c>
      <c r="F48" s="102" t="s">
        <v>181</v>
      </c>
      <c r="G48" s="102"/>
      <c r="H48" s="102"/>
      <c r="I48" s="102"/>
      <c r="J48" s="102"/>
      <c r="K48" s="102"/>
      <c r="L48" s="102"/>
    </row>
    <row r="49" spans="2:13" ht="22.8" customHeight="1">
      <c r="E49" s="2" t="s">
        <v>65</v>
      </c>
      <c r="K49" s="2" t="s">
        <v>65</v>
      </c>
    </row>
    <row r="50" spans="2:13" ht="22.8" customHeight="1">
      <c r="B50" s="2" t="s">
        <v>176</v>
      </c>
      <c r="D50" s="20">
        <v>0</v>
      </c>
      <c r="E50" s="20">
        <v>1</v>
      </c>
      <c r="F50" s="20">
        <v>2</v>
      </c>
      <c r="H50" s="2" t="s">
        <v>177</v>
      </c>
      <c r="J50" s="20">
        <v>0</v>
      </c>
      <c r="K50" s="20">
        <v>1</v>
      </c>
      <c r="L50" s="20">
        <v>2</v>
      </c>
    </row>
    <row r="51" spans="2:13" ht="22.8" customHeight="1">
      <c r="C51" s="20">
        <v>0</v>
      </c>
      <c r="D51" s="21">
        <v>1</v>
      </c>
      <c r="E51" s="21">
        <v>2</v>
      </c>
      <c r="F51" s="21">
        <v>3</v>
      </c>
      <c r="I51" s="20">
        <v>0</v>
      </c>
      <c r="J51" s="21" t="s">
        <v>170</v>
      </c>
      <c r="K51" s="21" t="s">
        <v>171</v>
      </c>
      <c r="L51" s="21" t="s">
        <v>172</v>
      </c>
    </row>
    <row r="52" spans="2:13" ht="22.8" customHeight="1">
      <c r="B52" s="2" t="s">
        <v>66</v>
      </c>
      <c r="C52" s="20">
        <v>1</v>
      </c>
      <c r="D52" s="21">
        <v>4</v>
      </c>
      <c r="E52" s="21">
        <v>5</v>
      </c>
      <c r="F52" s="21">
        <v>6</v>
      </c>
      <c r="H52" s="2" t="s">
        <v>66</v>
      </c>
      <c r="I52" s="20">
        <v>1</v>
      </c>
      <c r="J52" s="21">
        <v>7</v>
      </c>
      <c r="K52" s="21">
        <v>8</v>
      </c>
      <c r="L52" s="21">
        <v>9</v>
      </c>
    </row>
    <row r="53" spans="2:13" ht="22.8" customHeight="1">
      <c r="C53" s="20">
        <v>2</v>
      </c>
      <c r="D53" s="21">
        <v>7</v>
      </c>
      <c r="E53" s="21">
        <v>8</v>
      </c>
      <c r="F53" s="21">
        <v>9</v>
      </c>
      <c r="I53" s="20">
        <v>2</v>
      </c>
      <c r="J53" s="21">
        <v>4</v>
      </c>
      <c r="K53" s="21">
        <v>5</v>
      </c>
      <c r="L53" s="21">
        <v>6</v>
      </c>
    </row>
    <row r="54" spans="2:13" ht="22.8" customHeight="1">
      <c r="C54" s="20">
        <v>3</v>
      </c>
      <c r="D54" s="21" t="s">
        <v>170</v>
      </c>
      <c r="E54" s="21" t="s">
        <v>171</v>
      </c>
      <c r="F54" s="21" t="s">
        <v>172</v>
      </c>
      <c r="I54" s="20">
        <v>3</v>
      </c>
      <c r="J54" s="21">
        <v>1</v>
      </c>
      <c r="K54" s="21">
        <v>2</v>
      </c>
      <c r="L54" s="21">
        <v>3</v>
      </c>
    </row>
    <row r="55" spans="2:13" ht="22.8" customHeight="1">
      <c r="C55" s="15"/>
      <c r="D55" s="15"/>
      <c r="E55" s="15"/>
      <c r="F55" s="15"/>
      <c r="G55" s="15"/>
      <c r="H55" s="15"/>
      <c r="I55" s="15"/>
      <c r="J55" s="15"/>
      <c r="K55" s="15"/>
    </row>
    <row r="56" spans="2:13" ht="22.8" customHeight="1">
      <c r="C56" s="66" t="s">
        <v>178</v>
      </c>
      <c r="D56" s="67"/>
      <c r="E56" s="67"/>
      <c r="F56" s="67"/>
      <c r="G56" s="67"/>
      <c r="H56" s="67"/>
      <c r="I56" s="67"/>
      <c r="J56" s="67"/>
      <c r="K56" s="67"/>
      <c r="L56" s="67"/>
      <c r="M56" s="67"/>
    </row>
    <row r="57" spans="2:13" ht="22.8" customHeight="1"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</row>
    <row r="58" spans="2:13" ht="22.8" customHeight="1"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</row>
    <row r="59" spans="2:13" ht="22.8" customHeight="1"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</row>
    <row r="62" spans="2:13" ht="22.8" customHeight="1">
      <c r="C62" s="2" t="s">
        <v>175</v>
      </c>
      <c r="D62" s="2" t="s">
        <v>174</v>
      </c>
    </row>
    <row r="63" spans="2:13" ht="22.8" customHeight="1">
      <c r="C63" s="2">
        <v>3</v>
      </c>
      <c r="D63" s="2">
        <v>4</v>
      </c>
      <c r="F63" s="102" t="s">
        <v>182</v>
      </c>
      <c r="G63" s="102"/>
      <c r="H63" s="102"/>
      <c r="I63" s="102"/>
      <c r="J63" s="102"/>
      <c r="K63" s="102"/>
      <c r="L63" s="102"/>
    </row>
    <row r="64" spans="2:13" ht="22.8" customHeight="1">
      <c r="E64" s="2" t="s">
        <v>65</v>
      </c>
      <c r="K64" s="2" t="s">
        <v>65</v>
      </c>
    </row>
    <row r="65" spans="2:13" ht="22.8" customHeight="1">
      <c r="B65" s="2" t="s">
        <v>176</v>
      </c>
      <c r="D65" s="20">
        <v>0</v>
      </c>
      <c r="E65" s="20">
        <v>1</v>
      </c>
      <c r="F65" s="20">
        <v>2</v>
      </c>
      <c r="H65" s="2" t="s">
        <v>177</v>
      </c>
      <c r="J65" s="20">
        <v>0</v>
      </c>
      <c r="K65" s="20">
        <v>1</v>
      </c>
      <c r="L65" s="20">
        <v>2</v>
      </c>
    </row>
    <row r="66" spans="2:13" ht="22.8" customHeight="1">
      <c r="C66" s="20">
        <v>0</v>
      </c>
      <c r="D66" s="21">
        <v>1</v>
      </c>
      <c r="E66" s="21">
        <v>2</v>
      </c>
      <c r="F66" s="21">
        <v>3</v>
      </c>
      <c r="I66" s="20">
        <v>0</v>
      </c>
      <c r="J66" s="21">
        <v>3</v>
      </c>
      <c r="K66" s="21">
        <v>2</v>
      </c>
      <c r="L66" s="21">
        <v>1</v>
      </c>
    </row>
    <row r="67" spans="2:13" ht="22.8" customHeight="1">
      <c r="B67" s="2" t="s">
        <v>66</v>
      </c>
      <c r="C67" s="20">
        <v>1</v>
      </c>
      <c r="D67" s="21">
        <v>4</v>
      </c>
      <c r="E67" s="21">
        <v>5</v>
      </c>
      <c r="F67" s="21">
        <v>6</v>
      </c>
      <c r="H67" s="2" t="s">
        <v>66</v>
      </c>
      <c r="I67" s="20">
        <v>1</v>
      </c>
      <c r="J67" s="21">
        <v>6</v>
      </c>
      <c r="K67" s="21">
        <v>5</v>
      </c>
      <c r="L67" s="21">
        <v>4</v>
      </c>
    </row>
    <row r="68" spans="2:13" ht="22.8" customHeight="1">
      <c r="C68" s="20">
        <v>2</v>
      </c>
      <c r="D68" s="21">
        <v>7</v>
      </c>
      <c r="E68" s="21">
        <v>8</v>
      </c>
      <c r="F68" s="21">
        <v>9</v>
      </c>
      <c r="I68" s="20">
        <v>2</v>
      </c>
      <c r="J68" s="21">
        <v>9</v>
      </c>
      <c r="K68" s="21">
        <v>8</v>
      </c>
      <c r="L68" s="21">
        <v>7</v>
      </c>
    </row>
    <row r="69" spans="2:13" ht="22.8" customHeight="1">
      <c r="C69" s="20">
        <v>3</v>
      </c>
      <c r="D69" s="21" t="s">
        <v>170</v>
      </c>
      <c r="E69" s="21" t="s">
        <v>171</v>
      </c>
      <c r="F69" s="21" t="s">
        <v>172</v>
      </c>
      <c r="I69" s="20">
        <v>3</v>
      </c>
      <c r="J69" s="21" t="s">
        <v>172</v>
      </c>
      <c r="K69" s="21" t="s">
        <v>171</v>
      </c>
      <c r="L69" s="21" t="s">
        <v>170</v>
      </c>
    </row>
    <row r="70" spans="2:13" ht="22.8" customHeight="1">
      <c r="C70" s="15"/>
      <c r="D70" s="15"/>
      <c r="E70" s="15"/>
      <c r="F70" s="15"/>
      <c r="G70" s="15"/>
      <c r="H70" s="15"/>
      <c r="I70" s="15"/>
      <c r="J70" s="15"/>
      <c r="K70" s="15"/>
    </row>
    <row r="71" spans="2:13" ht="22.8" customHeight="1">
      <c r="C71" s="66" t="s">
        <v>178</v>
      </c>
      <c r="D71" s="67"/>
      <c r="E71" s="67"/>
      <c r="F71" s="67"/>
      <c r="G71" s="67"/>
      <c r="H71" s="67"/>
      <c r="I71" s="67"/>
      <c r="J71" s="67"/>
      <c r="K71" s="67"/>
      <c r="L71" s="67"/>
      <c r="M71" s="67"/>
    </row>
    <row r="72" spans="2:13" ht="22.8" customHeight="1"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</row>
    <row r="73" spans="2:13" ht="22.8" customHeight="1"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</row>
    <row r="74" spans="2:13" ht="22.8" customHeight="1"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</row>
  </sheetData>
  <mergeCells count="5">
    <mergeCell ref="F33:L33"/>
    <mergeCell ref="F48:L48"/>
    <mergeCell ref="F63:L63"/>
    <mergeCell ref="F3:L3"/>
    <mergeCell ref="F18:L18"/>
  </mergeCells>
  <phoneticPr fontId="2" type="noConversion"/>
  <hyperlinks>
    <hyperlink ref="A1" location="목차!A1" display="HOME" xr:uid="{E8BEC850-FD4D-43BC-A921-70265C0F5158}"/>
  </hyperlink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4E9BF-1E9C-4E58-82D0-DD6B19B287EE}">
  <dimension ref="A1:Z95"/>
  <sheetViews>
    <sheetView zoomScale="25" zoomScaleNormal="25" workbookViewId="0">
      <selection activeCell="Z73" sqref="Z72:AO73"/>
    </sheetView>
  </sheetViews>
  <sheetFormatPr defaultRowHeight="17.399999999999999"/>
  <cols>
    <col min="1" max="1" width="6.69921875" customWidth="1"/>
    <col min="15" max="15" width="6.3984375" customWidth="1"/>
  </cols>
  <sheetData>
    <row r="1" spans="1:26" ht="18" thickBot="1">
      <c r="A1" s="19" t="s">
        <v>64</v>
      </c>
    </row>
    <row r="3" spans="1:26">
      <c r="X3" s="2"/>
      <c r="Y3" s="2"/>
      <c r="Z3" s="2"/>
    </row>
    <row r="4" spans="1:26">
      <c r="X4" s="2"/>
      <c r="Y4" s="2"/>
      <c r="Z4" s="2"/>
    </row>
    <row r="5" spans="1:26">
      <c r="X5" s="2"/>
      <c r="Y5" s="2"/>
      <c r="Z5" s="2"/>
    </row>
    <row r="6" spans="1:26">
      <c r="X6" s="2"/>
      <c r="Y6" s="2"/>
      <c r="Z6" s="2"/>
    </row>
    <row r="7" spans="1:26">
      <c r="X7" s="2"/>
      <c r="Y7" s="2"/>
      <c r="Z7" s="2"/>
    </row>
    <row r="8" spans="1:26">
      <c r="X8" s="2"/>
      <c r="Y8" s="2"/>
      <c r="Z8" s="2"/>
    </row>
    <row r="9" spans="1:26">
      <c r="X9" s="2"/>
      <c r="Y9" s="2"/>
      <c r="Z9" s="2"/>
    </row>
    <row r="10" spans="1:26">
      <c r="X10" s="2"/>
      <c r="Y10" s="2"/>
      <c r="Z10" s="2"/>
    </row>
    <row r="11" spans="1:26">
      <c r="X11" s="2"/>
      <c r="Y11" s="2"/>
      <c r="Z11" s="2"/>
    </row>
    <row r="12" spans="1:26">
      <c r="X12" s="2"/>
      <c r="Y12" s="2"/>
      <c r="Z12" s="2"/>
    </row>
    <row r="13" spans="1:26">
      <c r="X13" s="2"/>
      <c r="Y13" s="2"/>
      <c r="Z13" s="2"/>
    </row>
    <row r="14" spans="1:26">
      <c r="X14" s="2"/>
      <c r="Y14" s="2"/>
      <c r="Z14" s="2"/>
    </row>
    <row r="15" spans="1:26">
      <c r="X15" s="2"/>
      <c r="Y15" s="2"/>
      <c r="Z15" s="2"/>
    </row>
    <row r="16" spans="1:26">
      <c r="X16" s="2"/>
      <c r="Y16" s="2"/>
      <c r="Z16" s="2"/>
    </row>
    <row r="17" spans="24:26">
      <c r="X17" s="2"/>
      <c r="Y17" s="2"/>
      <c r="Z17" s="2"/>
    </row>
    <row r="18" spans="24:26">
      <c r="X18" s="2"/>
      <c r="Y18" s="2"/>
      <c r="Z18" s="2"/>
    </row>
    <row r="19" spans="24:26">
      <c r="X19" s="2"/>
      <c r="Y19" s="2"/>
      <c r="Z19" s="2"/>
    </row>
    <row r="20" spans="24:26">
      <c r="X20" s="2"/>
      <c r="Y20" s="2"/>
      <c r="Z20" s="2"/>
    </row>
    <row r="21" spans="24:26">
      <c r="X21" s="2"/>
      <c r="Y21" s="2"/>
      <c r="Z21" s="2"/>
    </row>
    <row r="22" spans="24:26">
      <c r="X22" s="2"/>
      <c r="Y22" s="2"/>
      <c r="Z22" s="2"/>
    </row>
    <row r="23" spans="24:26">
      <c r="X23" s="2"/>
      <c r="Y23" s="2"/>
      <c r="Z23" s="2"/>
    </row>
    <row r="24" spans="24:26">
      <c r="X24" s="2"/>
      <c r="Y24" s="2"/>
      <c r="Z24" s="2"/>
    </row>
    <row r="74" spans="3:10">
      <c r="C74" s="2">
        <v>0</v>
      </c>
      <c r="D74" s="2">
        <v>1</v>
      </c>
      <c r="E74" s="2">
        <v>2</v>
      </c>
      <c r="F74" s="2">
        <v>3</v>
      </c>
      <c r="G74" s="2">
        <v>4</v>
      </c>
      <c r="H74" s="2">
        <v>5</v>
      </c>
      <c r="I74" s="2">
        <v>6</v>
      </c>
      <c r="J74" s="2"/>
    </row>
    <row r="75" spans="3:10">
      <c r="C75" s="21"/>
      <c r="D75" s="21" t="s">
        <v>183</v>
      </c>
      <c r="E75" s="21" t="s">
        <v>184</v>
      </c>
      <c r="F75" s="21" t="s">
        <v>185</v>
      </c>
      <c r="G75" s="21" t="s">
        <v>186</v>
      </c>
      <c r="H75" s="21" t="s">
        <v>187</v>
      </c>
      <c r="I75" s="21" t="s">
        <v>188</v>
      </c>
      <c r="J75" s="2"/>
    </row>
    <row r="76" spans="3:10">
      <c r="C76" s="21" t="s">
        <v>183</v>
      </c>
      <c r="D76" s="21" t="s">
        <v>184</v>
      </c>
      <c r="E76" s="21" t="s">
        <v>185</v>
      </c>
      <c r="F76" s="21" t="s">
        <v>186</v>
      </c>
      <c r="G76" s="21" t="s">
        <v>187</v>
      </c>
      <c r="H76" s="21" t="s">
        <v>188</v>
      </c>
      <c r="I76" s="2"/>
      <c r="J76" s="2"/>
    </row>
    <row r="77" spans="3:10">
      <c r="C77" s="22" t="s">
        <v>184</v>
      </c>
      <c r="D77" s="22" t="s">
        <v>189</v>
      </c>
      <c r="E77" s="22" t="s">
        <v>186</v>
      </c>
      <c r="F77" s="22" t="s">
        <v>187</v>
      </c>
      <c r="G77" s="22" t="s">
        <v>188</v>
      </c>
      <c r="H77" s="2"/>
      <c r="I77" s="2"/>
      <c r="J77" s="2"/>
    </row>
    <row r="78" spans="3:10">
      <c r="C78" s="22" t="s">
        <v>185</v>
      </c>
      <c r="D78" s="22" t="s">
        <v>190</v>
      </c>
      <c r="E78" s="22" t="s">
        <v>191</v>
      </c>
      <c r="F78" s="22" t="s">
        <v>188</v>
      </c>
      <c r="G78" s="22"/>
      <c r="H78" s="2"/>
      <c r="I78" s="2"/>
      <c r="J78" s="2"/>
    </row>
    <row r="79" spans="3:10">
      <c r="C79" s="22" t="s">
        <v>186</v>
      </c>
      <c r="D79" s="22" t="s">
        <v>192</v>
      </c>
      <c r="E79" s="22" t="s">
        <v>193</v>
      </c>
      <c r="F79" s="22" t="s">
        <v>194</v>
      </c>
      <c r="G79" s="22"/>
      <c r="H79" s="2"/>
      <c r="I79" s="2"/>
      <c r="J79" s="2"/>
    </row>
    <row r="80" spans="3:10">
      <c r="C80" s="22" t="s">
        <v>187</v>
      </c>
      <c r="D80" s="22" t="s">
        <v>195</v>
      </c>
      <c r="E80" s="22" t="s">
        <v>196</v>
      </c>
      <c r="F80" s="22" t="s">
        <v>197</v>
      </c>
      <c r="G80" s="22" t="s">
        <v>194</v>
      </c>
      <c r="H80" s="2"/>
      <c r="I80" s="2"/>
      <c r="J80" s="2"/>
    </row>
    <row r="81" spans="3:10">
      <c r="C81" s="21" t="s">
        <v>188</v>
      </c>
      <c r="D81" s="21" t="s">
        <v>187</v>
      </c>
      <c r="E81" s="21" t="s">
        <v>198</v>
      </c>
      <c r="F81" s="21" t="s">
        <v>196</v>
      </c>
      <c r="G81" s="21" t="s">
        <v>197</v>
      </c>
      <c r="H81" s="21" t="s">
        <v>194</v>
      </c>
      <c r="I81" s="2"/>
      <c r="J81" s="2"/>
    </row>
    <row r="82" spans="3:10">
      <c r="C82" s="21"/>
      <c r="D82" s="21"/>
      <c r="E82" s="21"/>
      <c r="F82" s="21"/>
      <c r="G82" s="21"/>
      <c r="H82" s="2"/>
      <c r="I82" s="2"/>
      <c r="J82" s="2"/>
    </row>
    <row r="83" spans="3:10">
      <c r="C83" s="21"/>
      <c r="D83" s="21"/>
      <c r="E83" s="21"/>
      <c r="F83" s="21"/>
      <c r="G83" s="21"/>
      <c r="H83" s="2"/>
      <c r="I83" s="2"/>
      <c r="J83" s="2"/>
    </row>
    <row r="84" spans="3:10">
      <c r="C84" s="21"/>
      <c r="D84" s="21"/>
      <c r="E84" s="21"/>
      <c r="F84" s="21"/>
      <c r="G84" s="21"/>
      <c r="H84" s="2"/>
      <c r="I84" s="2"/>
      <c r="J84" s="2"/>
    </row>
    <row r="85" spans="3:10">
      <c r="C85" s="2"/>
      <c r="D85" s="2"/>
      <c r="E85" s="2"/>
      <c r="F85" s="2"/>
      <c r="G85" s="2"/>
      <c r="H85" s="2"/>
      <c r="I85" s="2"/>
      <c r="J85" s="2"/>
    </row>
    <row r="86" spans="3:10">
      <c r="C86" s="2"/>
      <c r="D86" s="2"/>
      <c r="E86" s="2"/>
      <c r="F86" s="2"/>
      <c r="G86" s="2"/>
      <c r="H86" s="2"/>
      <c r="I86" s="2"/>
      <c r="J86" s="2"/>
    </row>
    <row r="87" spans="3:10">
      <c r="C87" s="2"/>
      <c r="D87" s="2"/>
      <c r="E87" s="2"/>
      <c r="F87" s="2"/>
      <c r="G87" s="2"/>
      <c r="H87" s="2"/>
      <c r="I87" s="2"/>
      <c r="J87" s="2"/>
    </row>
    <row r="88" spans="3:10">
      <c r="C88" s="2"/>
      <c r="D88" s="2"/>
      <c r="E88" s="2"/>
      <c r="F88" s="2"/>
      <c r="G88" s="2"/>
      <c r="H88" s="2"/>
      <c r="I88" s="2"/>
      <c r="J88" s="2"/>
    </row>
    <row r="89" spans="3:10">
      <c r="C89" s="2"/>
      <c r="D89" s="2"/>
      <c r="E89" s="2"/>
      <c r="F89" s="2"/>
      <c r="G89" s="2"/>
      <c r="H89" s="2"/>
      <c r="I89" s="2"/>
      <c r="J89" s="2"/>
    </row>
    <row r="90" spans="3:10">
      <c r="C90" s="2"/>
      <c r="D90" s="2"/>
      <c r="E90" s="2"/>
      <c r="F90" s="112"/>
      <c r="G90" s="113" t="s">
        <v>199</v>
      </c>
      <c r="H90" s="114"/>
      <c r="I90" s="2"/>
      <c r="J90" s="2"/>
    </row>
    <row r="91" spans="3:10">
      <c r="C91" s="2"/>
      <c r="D91" s="2"/>
      <c r="E91" s="2"/>
      <c r="F91" s="112"/>
      <c r="G91" s="68" t="s">
        <v>200</v>
      </c>
      <c r="H91" s="69" t="s">
        <v>201</v>
      </c>
      <c r="I91" s="2"/>
      <c r="J91" s="2"/>
    </row>
    <row r="92" spans="3:10">
      <c r="C92" s="2"/>
      <c r="D92" s="2"/>
      <c r="E92" s="112" t="s">
        <v>202</v>
      </c>
      <c r="F92" s="115" t="s">
        <v>200</v>
      </c>
      <c r="G92" s="112"/>
      <c r="H92" s="112"/>
      <c r="I92" s="2"/>
      <c r="J92" s="2"/>
    </row>
    <row r="93" spans="3:10">
      <c r="C93" s="2"/>
      <c r="D93" s="2"/>
      <c r="E93" s="112"/>
      <c r="F93" s="116"/>
      <c r="G93" s="112"/>
      <c r="H93" s="112"/>
      <c r="I93" s="2"/>
      <c r="J93" s="2"/>
    </row>
    <row r="94" spans="3:10">
      <c r="C94" s="2"/>
      <c r="D94" s="2"/>
      <c r="E94" s="112"/>
      <c r="F94" s="115" t="s">
        <v>201</v>
      </c>
      <c r="G94" s="112"/>
      <c r="H94" s="112"/>
      <c r="I94" s="2"/>
      <c r="J94" s="2"/>
    </row>
    <row r="95" spans="3:10">
      <c r="C95" s="2"/>
      <c r="D95" s="2"/>
      <c r="E95" s="112"/>
      <c r="F95" s="116"/>
      <c r="G95" s="112"/>
      <c r="H95" s="112"/>
      <c r="I95" s="2"/>
      <c r="J95" s="2"/>
    </row>
  </sheetData>
  <mergeCells count="9">
    <mergeCell ref="F90:F91"/>
    <mergeCell ref="G90:H90"/>
    <mergeCell ref="E92:E95"/>
    <mergeCell ref="F92:F93"/>
    <mergeCell ref="G92:G93"/>
    <mergeCell ref="H92:H93"/>
    <mergeCell ref="F94:F95"/>
    <mergeCell ref="G94:G95"/>
    <mergeCell ref="H94:H95"/>
  </mergeCells>
  <phoneticPr fontId="2" type="noConversion"/>
  <hyperlinks>
    <hyperlink ref="A1" location="목차!A1" display="HOME" xr:uid="{1430079E-7A45-4A05-B89E-7306742DDB60}"/>
  </hyperlink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7DEE-4D30-4DE9-B17C-51814EDD16D4}">
  <dimension ref="A1"/>
  <sheetViews>
    <sheetView topLeftCell="AK9" zoomScale="130" zoomScaleNormal="130" workbookViewId="0">
      <selection activeCell="V51" sqref="V51"/>
    </sheetView>
  </sheetViews>
  <sheetFormatPr defaultRowHeight="17.399999999999999"/>
  <cols>
    <col min="1" max="1" width="6.69921875" customWidth="1"/>
  </cols>
  <sheetData>
    <row r="1" spans="1:1" ht="18" thickBot="1">
      <c r="A1" s="19" t="s">
        <v>64</v>
      </c>
    </row>
  </sheetData>
  <phoneticPr fontId="2" type="noConversion"/>
  <hyperlinks>
    <hyperlink ref="A1" location="목차!A1" display="HOME" xr:uid="{15A6F3B5-0461-4C65-B7F6-26B50AC5B1A3}"/>
  </hyperlink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0FBEC-F088-477B-AF9D-38C6BAD89AEB}">
  <dimension ref="A1:AG46"/>
  <sheetViews>
    <sheetView zoomScale="160" zoomScaleNormal="160" workbookViewId="0">
      <selection activeCell="AC16" sqref="AC16"/>
    </sheetView>
  </sheetViews>
  <sheetFormatPr defaultRowHeight="17.399999999999999"/>
  <cols>
    <col min="1" max="1" width="6.69921875" customWidth="1"/>
    <col min="2" max="25" width="3.69921875" customWidth="1"/>
    <col min="26" max="26" width="6.09765625" bestFit="1" customWidth="1"/>
    <col min="27" max="29" width="4.5" customWidth="1"/>
    <col min="30" max="48" width="3.69921875" customWidth="1"/>
  </cols>
  <sheetData>
    <row r="1" spans="1:33" ht="18" thickBot="1">
      <c r="A1" s="19" t="s">
        <v>64</v>
      </c>
    </row>
    <row r="2" spans="1:33" ht="18" thickBot="1">
      <c r="X2" s="117" t="s">
        <v>212</v>
      </c>
      <c r="Y2" s="118"/>
      <c r="Z2" s="118"/>
      <c r="AA2" s="118"/>
      <c r="AB2" s="118"/>
      <c r="AC2" s="119"/>
    </row>
    <row r="3" spans="1:33">
      <c r="C3" s="2"/>
      <c r="D3" s="2"/>
      <c r="E3" s="2"/>
      <c r="F3" s="2"/>
      <c r="G3" s="2"/>
      <c r="H3" s="2"/>
      <c r="I3" s="2"/>
      <c r="J3" s="102" t="s">
        <v>235</v>
      </c>
      <c r="K3" s="102"/>
      <c r="L3" s="102"/>
      <c r="M3" s="2">
        <v>0</v>
      </c>
      <c r="N3" s="2">
        <v>1</v>
      </c>
      <c r="O3" s="2">
        <v>2</v>
      </c>
      <c r="P3" s="2">
        <v>3</v>
      </c>
      <c r="Q3" s="2">
        <v>4</v>
      </c>
      <c r="R3" s="2">
        <v>5</v>
      </c>
      <c r="S3" s="2">
        <v>6</v>
      </c>
      <c r="T3" s="2">
        <v>7</v>
      </c>
      <c r="U3" s="2">
        <v>8</v>
      </c>
      <c r="V3" s="2"/>
      <c r="W3" s="2"/>
      <c r="X3" s="2"/>
      <c r="Y3" s="2"/>
      <c r="Z3" s="2" t="s">
        <v>205</v>
      </c>
      <c r="AA3" s="2" t="s">
        <v>83</v>
      </c>
      <c r="AB3" s="2" t="s">
        <v>82</v>
      </c>
      <c r="AC3" s="2" t="s">
        <v>206</v>
      </c>
      <c r="AD3" s="2"/>
    </row>
    <row r="4" spans="1:33">
      <c r="C4" s="2" t="s">
        <v>203</v>
      </c>
      <c r="D4" s="2"/>
      <c r="E4" s="2"/>
      <c r="F4" s="2"/>
      <c r="G4" s="2"/>
      <c r="H4" s="2"/>
      <c r="I4" s="2"/>
      <c r="J4" s="2"/>
      <c r="K4" s="2"/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/>
      <c r="W4" s="2"/>
      <c r="Z4" s="2">
        <v>0</v>
      </c>
      <c r="AA4" s="2">
        <v>4</v>
      </c>
      <c r="AB4" s="2">
        <v>1</v>
      </c>
      <c r="AC4" s="2">
        <v>0</v>
      </c>
      <c r="AD4" s="2"/>
    </row>
    <row r="5" spans="1:33">
      <c r="C5" s="2" t="s">
        <v>204</v>
      </c>
      <c r="D5" s="2" t="s">
        <v>163</v>
      </c>
      <c r="E5" s="2" t="s">
        <v>163</v>
      </c>
      <c r="F5" s="2" t="s">
        <v>204</v>
      </c>
      <c r="G5" s="2" t="s">
        <v>204</v>
      </c>
      <c r="H5" s="2" t="s">
        <v>204</v>
      </c>
      <c r="I5" s="2" t="s">
        <v>163</v>
      </c>
      <c r="J5" s="2"/>
      <c r="K5" s="2"/>
      <c r="L5" s="2">
        <v>1</v>
      </c>
      <c r="M5" s="2">
        <v>0</v>
      </c>
      <c r="N5" s="35">
        <v>0</v>
      </c>
      <c r="O5" s="35">
        <v>1</v>
      </c>
      <c r="P5" s="35">
        <v>1</v>
      </c>
      <c r="Q5" s="35">
        <v>0</v>
      </c>
      <c r="R5" s="35">
        <v>0</v>
      </c>
      <c r="S5" s="35">
        <v>0</v>
      </c>
      <c r="T5" s="35">
        <v>1</v>
      </c>
      <c r="U5" s="2">
        <v>0</v>
      </c>
      <c r="V5" s="2"/>
      <c r="W5" s="2"/>
      <c r="Z5" s="2">
        <v>1</v>
      </c>
      <c r="AA5" s="2">
        <v>3</v>
      </c>
      <c r="AB5" s="2">
        <v>1</v>
      </c>
      <c r="AC5" s="2">
        <v>1</v>
      </c>
      <c r="AD5" s="2"/>
    </row>
    <row r="6" spans="1:33">
      <c r="C6" s="2" t="s">
        <v>163</v>
      </c>
      <c r="D6" s="2" t="s">
        <v>163</v>
      </c>
      <c r="E6" s="2" t="s">
        <v>163</v>
      </c>
      <c r="F6" s="2" t="s">
        <v>204</v>
      </c>
      <c r="G6" s="2" t="s">
        <v>163</v>
      </c>
      <c r="H6" s="2" t="s">
        <v>163</v>
      </c>
      <c r="I6" s="2" t="s">
        <v>163</v>
      </c>
      <c r="J6" s="2"/>
      <c r="K6" s="2"/>
      <c r="L6" s="2">
        <v>2</v>
      </c>
      <c r="M6" s="2">
        <v>0</v>
      </c>
      <c r="N6" s="35">
        <v>1</v>
      </c>
      <c r="O6" s="35">
        <v>1</v>
      </c>
      <c r="P6" s="35">
        <v>1</v>
      </c>
      <c r="Q6" s="35">
        <v>0</v>
      </c>
      <c r="R6" s="35">
        <v>1</v>
      </c>
      <c r="S6" s="35">
        <v>1</v>
      </c>
      <c r="T6" s="35">
        <v>1</v>
      </c>
      <c r="U6" s="2">
        <v>0</v>
      </c>
      <c r="V6" s="2"/>
      <c r="W6" s="2"/>
      <c r="Z6" s="2">
        <v>2</v>
      </c>
      <c r="AA6" s="2">
        <v>2</v>
      </c>
      <c r="AB6" s="2">
        <v>1</v>
      </c>
      <c r="AC6" s="2">
        <v>2</v>
      </c>
      <c r="AD6" s="2"/>
    </row>
    <row r="7" spans="1:33">
      <c r="C7" s="2" t="s">
        <v>163</v>
      </c>
      <c r="D7" s="2" t="s">
        <v>204</v>
      </c>
      <c r="E7" s="2" t="s">
        <v>163</v>
      </c>
      <c r="F7" s="2" t="s">
        <v>204</v>
      </c>
      <c r="G7" s="2" t="s">
        <v>163</v>
      </c>
      <c r="H7" s="2" t="s">
        <v>204</v>
      </c>
      <c r="I7" s="2" t="s">
        <v>204</v>
      </c>
      <c r="J7" s="2"/>
      <c r="K7" s="2"/>
      <c r="L7" s="2">
        <v>3</v>
      </c>
      <c r="M7" s="2">
        <v>0</v>
      </c>
      <c r="N7" s="35">
        <v>1</v>
      </c>
      <c r="O7" s="35">
        <v>0</v>
      </c>
      <c r="P7" s="35">
        <v>1</v>
      </c>
      <c r="Q7" s="35">
        <v>0</v>
      </c>
      <c r="R7" s="35">
        <v>1</v>
      </c>
      <c r="S7" s="35">
        <v>0</v>
      </c>
      <c r="T7" s="35">
        <v>0</v>
      </c>
      <c r="U7" s="2">
        <v>0</v>
      </c>
      <c r="V7" s="2"/>
      <c r="W7" s="2"/>
      <c r="X7" s="2" t="s">
        <v>208</v>
      </c>
      <c r="Z7" s="2">
        <v>3</v>
      </c>
      <c r="AA7" s="2">
        <v>2</v>
      </c>
      <c r="AB7" s="2">
        <v>2</v>
      </c>
      <c r="AC7" s="2">
        <v>3</v>
      </c>
      <c r="AD7" s="2"/>
    </row>
    <row r="8" spans="1:33">
      <c r="C8" s="2" t="s">
        <v>163</v>
      </c>
      <c r="D8" s="2" t="s">
        <v>204</v>
      </c>
      <c r="E8" s="2" t="s">
        <v>163</v>
      </c>
      <c r="F8" s="2" t="s">
        <v>204</v>
      </c>
      <c r="G8" s="2" t="s">
        <v>163</v>
      </c>
      <c r="H8" s="2" t="s">
        <v>163</v>
      </c>
      <c r="I8" s="2" t="s">
        <v>163</v>
      </c>
      <c r="J8" s="2"/>
      <c r="K8" s="2"/>
      <c r="L8" s="2">
        <v>4</v>
      </c>
      <c r="M8" s="2">
        <v>0</v>
      </c>
      <c r="N8" s="35">
        <v>1</v>
      </c>
      <c r="O8" s="35">
        <v>0</v>
      </c>
      <c r="P8" s="35">
        <v>1</v>
      </c>
      <c r="Q8" s="35">
        <v>0</v>
      </c>
      <c r="R8" s="35">
        <v>1</v>
      </c>
      <c r="S8" s="35">
        <v>1</v>
      </c>
      <c r="T8" s="35">
        <v>1</v>
      </c>
      <c r="U8" s="2">
        <v>0</v>
      </c>
      <c r="V8" s="2"/>
      <c r="W8" s="2"/>
      <c r="X8" s="2"/>
      <c r="Y8" s="2" t="s">
        <v>209</v>
      </c>
      <c r="Z8" s="2">
        <v>4</v>
      </c>
      <c r="AA8" s="2"/>
      <c r="AB8" s="2"/>
      <c r="AC8" s="2"/>
      <c r="AD8" s="2"/>
    </row>
    <row r="9" spans="1:33">
      <c r="C9" s="2" t="s">
        <v>204</v>
      </c>
      <c r="D9" s="2" t="s">
        <v>163</v>
      </c>
      <c r="E9" s="2" t="s">
        <v>163</v>
      </c>
      <c r="F9" s="2" t="s">
        <v>204</v>
      </c>
      <c r="G9" s="2" t="s">
        <v>163</v>
      </c>
      <c r="H9" s="2" t="s">
        <v>204</v>
      </c>
      <c r="I9" s="2" t="s">
        <v>204</v>
      </c>
      <c r="J9" s="2"/>
      <c r="K9" s="2"/>
      <c r="L9" s="2">
        <v>5</v>
      </c>
      <c r="M9" s="2">
        <v>0</v>
      </c>
      <c r="N9" s="35">
        <v>0</v>
      </c>
      <c r="O9" s="35">
        <v>1</v>
      </c>
      <c r="P9" s="35">
        <v>1</v>
      </c>
      <c r="Q9" s="35">
        <v>0</v>
      </c>
      <c r="R9" s="35">
        <v>1</v>
      </c>
      <c r="S9" s="35">
        <v>0</v>
      </c>
      <c r="T9" s="35">
        <v>0</v>
      </c>
      <c r="U9" s="2">
        <v>0</v>
      </c>
      <c r="V9" s="2"/>
      <c r="W9" s="2"/>
      <c r="X9" s="2"/>
      <c r="Z9" s="2">
        <v>5</v>
      </c>
      <c r="AA9" s="2"/>
      <c r="AB9" s="2"/>
      <c r="AC9" s="2"/>
      <c r="AD9" s="2"/>
    </row>
    <row r="10" spans="1:33">
      <c r="C10" s="2"/>
      <c r="D10" s="2"/>
      <c r="E10" s="2"/>
      <c r="F10" s="2"/>
      <c r="G10" s="2"/>
      <c r="H10" s="2"/>
      <c r="I10" s="2"/>
      <c r="J10" s="2"/>
      <c r="K10" s="2"/>
      <c r="L10" s="2">
        <v>6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/>
      <c r="W10" s="2"/>
      <c r="X10" s="2"/>
      <c r="Y10" s="2"/>
      <c r="Z10" s="2">
        <v>6</v>
      </c>
      <c r="AA10" s="2"/>
      <c r="AB10" s="2"/>
      <c r="AC10" s="2"/>
      <c r="AD10" s="2"/>
    </row>
    <row r="11" spans="1:33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>
        <v>7</v>
      </c>
      <c r="AA11" s="2"/>
      <c r="AB11" s="2"/>
      <c r="AC11" s="2"/>
      <c r="AD11" s="2"/>
      <c r="AE11" s="2"/>
      <c r="AF11" s="2"/>
      <c r="AG11" s="2"/>
    </row>
    <row r="12" spans="1:33">
      <c r="C12" s="2"/>
      <c r="D12" s="2"/>
      <c r="E12" s="2"/>
      <c r="F12" s="2"/>
      <c r="G12" s="2"/>
      <c r="H12" s="2"/>
      <c r="I12" s="2"/>
      <c r="J12" s="102" t="s">
        <v>234</v>
      </c>
      <c r="K12" s="102"/>
      <c r="L12" s="102"/>
      <c r="M12" s="2">
        <v>0</v>
      </c>
      <c r="N12" s="2">
        <v>1</v>
      </c>
      <c r="O12" s="2">
        <v>2</v>
      </c>
      <c r="P12" s="2">
        <v>3</v>
      </c>
      <c r="Q12" s="2">
        <v>4</v>
      </c>
      <c r="R12" s="2">
        <v>5</v>
      </c>
      <c r="S12" s="2">
        <v>6</v>
      </c>
      <c r="T12" s="2">
        <v>7</v>
      </c>
      <c r="U12" s="2">
        <v>8</v>
      </c>
      <c r="V12" s="2"/>
      <c r="W12" s="2"/>
      <c r="AE12" s="2"/>
      <c r="AF12" s="2"/>
      <c r="AG12" s="2"/>
    </row>
    <row r="13" spans="1:33">
      <c r="C13" s="2"/>
      <c r="D13" s="2"/>
      <c r="E13" s="2"/>
      <c r="F13" s="2"/>
      <c r="G13" s="2"/>
      <c r="H13" s="2"/>
      <c r="I13" s="2"/>
      <c r="J13" s="2"/>
      <c r="K13" s="2"/>
      <c r="L13" s="2">
        <v>0</v>
      </c>
      <c r="M13" s="84">
        <v>0</v>
      </c>
      <c r="N13" s="84">
        <v>0</v>
      </c>
      <c r="O13" s="84">
        <v>0</v>
      </c>
      <c r="P13" s="84">
        <v>0</v>
      </c>
      <c r="Q13" s="84">
        <v>0</v>
      </c>
      <c r="R13" s="84">
        <v>0</v>
      </c>
      <c r="S13" s="84">
        <v>0</v>
      </c>
      <c r="T13" s="84">
        <v>0</v>
      </c>
      <c r="U13" s="84">
        <v>0</v>
      </c>
      <c r="V13" s="2"/>
      <c r="W13" s="2"/>
      <c r="AE13" s="2"/>
      <c r="AF13" s="2"/>
      <c r="AG13" s="2"/>
    </row>
    <row r="14" spans="1:33">
      <c r="C14" s="2"/>
      <c r="D14" s="2"/>
      <c r="E14" s="2"/>
      <c r="F14" s="2"/>
      <c r="G14" s="2"/>
      <c r="H14" s="2"/>
      <c r="I14" s="2"/>
      <c r="J14" s="2"/>
      <c r="K14" s="2"/>
      <c r="L14" s="2">
        <v>1</v>
      </c>
      <c r="M14" s="84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  <c r="U14" s="84">
        <v>0</v>
      </c>
      <c r="V14" s="2"/>
      <c r="W14" s="2"/>
      <c r="AE14" s="2"/>
      <c r="AF14" s="2"/>
      <c r="AG14" s="2"/>
    </row>
    <row r="15" spans="1:33">
      <c r="C15" s="2"/>
      <c r="D15" s="2"/>
      <c r="E15" s="2"/>
      <c r="F15" s="2"/>
      <c r="G15" s="2"/>
      <c r="H15" s="2"/>
      <c r="I15" s="2"/>
      <c r="J15" s="2"/>
      <c r="K15" s="2"/>
      <c r="L15" s="2">
        <v>2</v>
      </c>
      <c r="M15" s="84">
        <v>0</v>
      </c>
      <c r="N15" s="35">
        <v>1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  <c r="U15" s="84">
        <v>0</v>
      </c>
      <c r="V15" s="2"/>
      <c r="W15" s="2"/>
      <c r="AE15" s="2"/>
      <c r="AF15" s="2"/>
      <c r="AG15" s="2"/>
    </row>
    <row r="16" spans="1:33">
      <c r="C16" s="2"/>
      <c r="D16" s="2"/>
      <c r="E16" s="2"/>
      <c r="F16" s="2"/>
      <c r="G16" s="2"/>
      <c r="H16" s="2"/>
      <c r="I16" s="2"/>
      <c r="J16" s="2"/>
      <c r="K16" s="2"/>
      <c r="L16" s="2">
        <v>3</v>
      </c>
      <c r="M16" s="84">
        <v>0</v>
      </c>
      <c r="N16" s="35">
        <v>1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  <c r="U16" s="84">
        <v>0</v>
      </c>
      <c r="V16" s="2"/>
      <c r="W16" s="2"/>
      <c r="AE16" s="2"/>
      <c r="AF16" s="2"/>
      <c r="AG16" s="2"/>
    </row>
    <row r="17" spans="3:33">
      <c r="C17" s="2"/>
      <c r="D17" s="2"/>
      <c r="E17" s="2"/>
      <c r="F17" s="2"/>
      <c r="G17" s="2"/>
      <c r="H17" s="2"/>
      <c r="I17" s="2"/>
      <c r="J17" s="2"/>
      <c r="K17" s="2"/>
      <c r="L17" s="2">
        <v>4</v>
      </c>
      <c r="M17" s="84">
        <v>0</v>
      </c>
      <c r="N17" s="35">
        <v>1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  <c r="U17" s="84">
        <v>0</v>
      </c>
      <c r="V17" s="2"/>
      <c r="W17" s="2"/>
      <c r="AE17" s="2"/>
      <c r="AF17" s="2"/>
      <c r="AG17" s="2"/>
    </row>
    <row r="18" spans="3:33">
      <c r="C18" s="2"/>
      <c r="D18" s="2"/>
      <c r="E18" s="2"/>
      <c r="F18" s="2"/>
      <c r="G18" s="2"/>
      <c r="H18" s="2"/>
      <c r="I18" s="2"/>
      <c r="J18" s="2"/>
      <c r="K18" s="2"/>
      <c r="L18" s="2">
        <v>5</v>
      </c>
      <c r="M18" s="84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84">
        <v>0</v>
      </c>
      <c r="V18" s="2"/>
      <c r="W18" s="2"/>
      <c r="AE18" s="2"/>
      <c r="AF18" s="2"/>
      <c r="AG18" s="2"/>
    </row>
    <row r="19" spans="3:33">
      <c r="C19" s="2"/>
      <c r="D19" s="2"/>
      <c r="E19" s="2"/>
      <c r="F19" s="2"/>
      <c r="G19" s="2"/>
      <c r="H19" s="2"/>
      <c r="I19" s="2"/>
      <c r="J19" s="2"/>
      <c r="K19" s="2"/>
      <c r="L19" s="2">
        <v>6</v>
      </c>
      <c r="M19" s="84">
        <v>0</v>
      </c>
      <c r="N19" s="84">
        <v>0</v>
      </c>
      <c r="O19" s="84">
        <v>0</v>
      </c>
      <c r="P19" s="84">
        <v>0</v>
      </c>
      <c r="Q19" s="84">
        <v>0</v>
      </c>
      <c r="R19" s="84">
        <v>0</v>
      </c>
      <c r="S19" s="84">
        <v>0</v>
      </c>
      <c r="T19" s="84">
        <v>0</v>
      </c>
      <c r="U19" s="84">
        <v>0</v>
      </c>
      <c r="V19" s="2"/>
      <c r="W19" s="2"/>
      <c r="AE19" s="2"/>
      <c r="AF19" s="2"/>
      <c r="AG19" s="2"/>
    </row>
    <row r="20" spans="3:33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AE20" s="2"/>
      <c r="AF20" s="2"/>
      <c r="AG20" s="2"/>
    </row>
    <row r="21" spans="3:33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3:33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3:33">
      <c r="C23" s="2"/>
      <c r="D23" s="2">
        <v>0</v>
      </c>
      <c r="E23" s="2">
        <v>1</v>
      </c>
      <c r="F23" s="2">
        <v>2</v>
      </c>
      <c r="G23" s="2">
        <v>3</v>
      </c>
      <c r="H23" s="2">
        <v>4</v>
      </c>
      <c r="I23" s="2">
        <v>5</v>
      </c>
      <c r="J23" s="2">
        <v>6</v>
      </c>
      <c r="K23" s="2">
        <v>7</v>
      </c>
    </row>
    <row r="24" spans="3:33"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</row>
    <row r="25" spans="3:33">
      <c r="C25" s="2">
        <v>1</v>
      </c>
      <c r="D25" s="2">
        <v>0</v>
      </c>
      <c r="E25" s="83">
        <v>0</v>
      </c>
      <c r="F25" s="83">
        <v>0</v>
      </c>
      <c r="G25" s="83">
        <v>0</v>
      </c>
      <c r="H25" s="83">
        <v>0</v>
      </c>
      <c r="I25" s="83">
        <v>0</v>
      </c>
      <c r="J25" s="83">
        <v>0</v>
      </c>
      <c r="K25" s="83">
        <v>0</v>
      </c>
    </row>
    <row r="26" spans="3:33">
      <c r="C26" s="2">
        <v>2</v>
      </c>
      <c r="D26" s="2">
        <v>0</v>
      </c>
      <c r="E26" s="35">
        <v>1</v>
      </c>
      <c r="F26" s="35">
        <v>1</v>
      </c>
      <c r="G26" s="35">
        <v>1</v>
      </c>
      <c r="H26" s="83">
        <v>0</v>
      </c>
      <c r="I26" s="35">
        <v>1</v>
      </c>
      <c r="J26" s="35">
        <v>1</v>
      </c>
      <c r="K26" s="35">
        <v>1</v>
      </c>
    </row>
    <row r="27" spans="3:33">
      <c r="C27" s="2">
        <v>3</v>
      </c>
      <c r="D27" s="2">
        <v>0</v>
      </c>
      <c r="E27" s="35">
        <v>1</v>
      </c>
      <c r="F27" s="83">
        <v>0</v>
      </c>
      <c r="G27" s="35">
        <v>1</v>
      </c>
      <c r="H27" s="35">
        <v>1</v>
      </c>
      <c r="I27" s="35">
        <v>1</v>
      </c>
      <c r="J27" s="83">
        <v>0</v>
      </c>
      <c r="K27" s="35">
        <v>1</v>
      </c>
    </row>
    <row r="28" spans="3:33">
      <c r="C28" s="2">
        <v>4</v>
      </c>
      <c r="D28" s="2">
        <v>0</v>
      </c>
      <c r="E28" s="35">
        <v>1</v>
      </c>
      <c r="F28" s="35">
        <v>1</v>
      </c>
      <c r="G28" s="35">
        <v>1</v>
      </c>
      <c r="H28" s="83">
        <v>0</v>
      </c>
      <c r="I28" s="35">
        <v>1</v>
      </c>
      <c r="J28" s="35">
        <v>1</v>
      </c>
      <c r="K28" s="35">
        <v>1</v>
      </c>
    </row>
    <row r="29" spans="3:33">
      <c r="C29" s="2">
        <v>5</v>
      </c>
      <c r="D29" s="2">
        <v>0</v>
      </c>
      <c r="E29" s="83">
        <v>0</v>
      </c>
      <c r="F29" s="83">
        <v>0</v>
      </c>
      <c r="G29" s="83">
        <v>0</v>
      </c>
      <c r="H29" s="83">
        <v>0</v>
      </c>
      <c r="I29" s="83">
        <v>0</v>
      </c>
      <c r="J29" s="83">
        <v>0</v>
      </c>
      <c r="K29" s="83">
        <v>0</v>
      </c>
    </row>
    <row r="32" spans="3:33">
      <c r="C32" s="2"/>
      <c r="D32" s="2">
        <v>0</v>
      </c>
      <c r="E32" s="2">
        <v>1</v>
      </c>
      <c r="F32" s="2">
        <v>2</v>
      </c>
      <c r="G32" s="2">
        <v>3</v>
      </c>
      <c r="H32" s="2">
        <v>4</v>
      </c>
      <c r="I32" s="2">
        <v>5</v>
      </c>
      <c r="J32" s="2">
        <v>6</v>
      </c>
      <c r="K32" s="2">
        <v>7</v>
      </c>
    </row>
    <row r="33" spans="3:11"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</row>
    <row r="34" spans="3:11">
      <c r="C34" s="2">
        <v>1</v>
      </c>
      <c r="D34" s="2">
        <v>0</v>
      </c>
      <c r="E34" s="83">
        <v>0</v>
      </c>
      <c r="F34" s="83">
        <v>0</v>
      </c>
      <c r="G34" s="83">
        <v>0</v>
      </c>
      <c r="H34" s="83">
        <v>0</v>
      </c>
      <c r="I34" s="83">
        <v>0</v>
      </c>
      <c r="J34" s="83">
        <v>0</v>
      </c>
      <c r="K34" s="83">
        <v>0</v>
      </c>
    </row>
    <row r="35" spans="3:11">
      <c r="C35" s="2">
        <v>2</v>
      </c>
      <c r="D35" s="2">
        <v>0</v>
      </c>
      <c r="E35" s="70">
        <v>0</v>
      </c>
      <c r="F35" s="71">
        <v>1</v>
      </c>
      <c r="G35" s="71">
        <v>2</v>
      </c>
      <c r="H35" s="83">
        <v>0</v>
      </c>
      <c r="I35" s="71">
        <v>6</v>
      </c>
      <c r="J35" s="71">
        <v>7</v>
      </c>
      <c r="K35" s="71">
        <v>8</v>
      </c>
    </row>
    <row r="36" spans="3:11">
      <c r="C36" s="2">
        <v>3</v>
      </c>
      <c r="D36" s="2">
        <v>0</v>
      </c>
      <c r="E36" s="35">
        <v>1</v>
      </c>
      <c r="F36" s="83">
        <v>0</v>
      </c>
      <c r="G36" s="71">
        <v>3</v>
      </c>
      <c r="H36" s="71">
        <v>4</v>
      </c>
      <c r="I36" s="71">
        <v>5</v>
      </c>
      <c r="J36" s="83">
        <v>0</v>
      </c>
      <c r="K36" s="70">
        <v>9</v>
      </c>
    </row>
    <row r="37" spans="3:11">
      <c r="C37" s="2">
        <v>4</v>
      </c>
      <c r="D37" s="2">
        <v>0</v>
      </c>
      <c r="E37" s="35">
        <v>1</v>
      </c>
      <c r="F37" s="35">
        <v>1</v>
      </c>
      <c r="G37" s="35">
        <v>1</v>
      </c>
      <c r="H37" s="83">
        <v>0</v>
      </c>
      <c r="I37" s="71">
        <v>6</v>
      </c>
      <c r="J37" s="71">
        <v>7</v>
      </c>
      <c r="K37" s="71">
        <v>8</v>
      </c>
    </row>
    <row r="38" spans="3:11">
      <c r="C38" s="2">
        <v>5</v>
      </c>
      <c r="D38" s="2">
        <v>0</v>
      </c>
      <c r="E38" s="83">
        <v>0</v>
      </c>
      <c r="F38" s="83">
        <v>0</v>
      </c>
      <c r="G38" s="83">
        <v>0</v>
      </c>
      <c r="H38" s="83">
        <v>0</v>
      </c>
      <c r="I38" s="83">
        <v>0</v>
      </c>
      <c r="J38" s="83">
        <v>0</v>
      </c>
      <c r="K38" s="83">
        <v>0</v>
      </c>
    </row>
    <row r="40" spans="3:11">
      <c r="C40" s="2"/>
      <c r="D40" s="2">
        <v>0</v>
      </c>
      <c r="E40" s="2">
        <v>1</v>
      </c>
      <c r="F40" s="2">
        <v>2</v>
      </c>
      <c r="G40" s="2">
        <v>3</v>
      </c>
      <c r="H40" s="2">
        <v>4</v>
      </c>
      <c r="I40" s="2">
        <v>5</v>
      </c>
      <c r="J40" s="2">
        <v>6</v>
      </c>
      <c r="K40" s="2">
        <v>7</v>
      </c>
    </row>
    <row r="41" spans="3:11"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</row>
    <row r="42" spans="3:11">
      <c r="C42" s="2">
        <v>1</v>
      </c>
      <c r="D42" s="2">
        <v>0</v>
      </c>
      <c r="E42" s="83">
        <v>0</v>
      </c>
      <c r="F42" s="83">
        <v>0</v>
      </c>
      <c r="G42" s="83">
        <v>0</v>
      </c>
      <c r="H42" s="83">
        <v>0</v>
      </c>
      <c r="I42" s="83">
        <v>0</v>
      </c>
      <c r="J42" s="83">
        <v>0</v>
      </c>
      <c r="K42" s="83">
        <v>0</v>
      </c>
    </row>
    <row r="43" spans="3:11">
      <c r="C43" s="2">
        <v>2</v>
      </c>
      <c r="D43" s="2">
        <v>0</v>
      </c>
      <c r="E43" s="72">
        <v>1</v>
      </c>
      <c r="F43" s="72">
        <v>2</v>
      </c>
      <c r="G43" s="72">
        <v>3</v>
      </c>
      <c r="H43" s="83">
        <v>0</v>
      </c>
      <c r="I43" s="72">
        <v>7</v>
      </c>
      <c r="J43" s="72">
        <v>8</v>
      </c>
      <c r="K43" s="72">
        <v>9</v>
      </c>
    </row>
    <row r="44" spans="3:11">
      <c r="C44" s="2">
        <v>3</v>
      </c>
      <c r="D44" s="2">
        <v>0</v>
      </c>
      <c r="E44" s="73">
        <v>0</v>
      </c>
      <c r="F44" s="83">
        <v>0</v>
      </c>
      <c r="G44" s="72">
        <v>4</v>
      </c>
      <c r="H44" s="72">
        <v>5</v>
      </c>
      <c r="I44" s="72">
        <v>6</v>
      </c>
      <c r="J44" s="83">
        <v>0</v>
      </c>
      <c r="K44" s="73">
        <v>10</v>
      </c>
    </row>
    <row r="45" spans="3:11">
      <c r="C45" s="2">
        <v>4</v>
      </c>
      <c r="D45" s="2">
        <v>0</v>
      </c>
      <c r="E45" s="72">
        <v>1</v>
      </c>
      <c r="F45" s="72">
        <v>2</v>
      </c>
      <c r="G45" s="72">
        <v>3</v>
      </c>
      <c r="H45" s="83">
        <v>0</v>
      </c>
      <c r="I45" s="72">
        <v>7</v>
      </c>
      <c r="J45" s="72">
        <v>8</v>
      </c>
      <c r="K45" s="72">
        <v>9</v>
      </c>
    </row>
    <row r="46" spans="3:11">
      <c r="C46" s="2">
        <v>5</v>
      </c>
      <c r="D46" s="2">
        <v>0</v>
      </c>
      <c r="E46" s="83">
        <v>0</v>
      </c>
      <c r="F46" s="83">
        <v>0</v>
      </c>
      <c r="G46" s="83">
        <v>0</v>
      </c>
      <c r="H46" s="83">
        <v>0</v>
      </c>
      <c r="I46" s="83">
        <v>0</v>
      </c>
      <c r="J46" s="83">
        <v>0</v>
      </c>
      <c r="K46" s="83">
        <v>0</v>
      </c>
    </row>
  </sheetData>
  <mergeCells count="3">
    <mergeCell ref="X2:AC2"/>
    <mergeCell ref="J12:L12"/>
    <mergeCell ref="J3:L3"/>
  </mergeCells>
  <phoneticPr fontId="2" type="noConversion"/>
  <hyperlinks>
    <hyperlink ref="A1" location="목차!A1" display="HOME" xr:uid="{2BB42C04-C557-4F08-94C2-A3283C451D8E}"/>
  </hyperlink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68C4-1350-433C-946E-3F9DF9AA9D13}">
  <dimension ref="A1:S28"/>
  <sheetViews>
    <sheetView topLeftCell="A9" zoomScale="160" zoomScaleNormal="160" workbookViewId="0">
      <selection activeCell="O27" sqref="O27"/>
    </sheetView>
  </sheetViews>
  <sheetFormatPr defaultRowHeight="17.399999999999999"/>
  <cols>
    <col min="8" max="8" width="2.59765625" bestFit="1" customWidth="1"/>
    <col min="9" max="9" width="3" bestFit="1" customWidth="1"/>
    <col min="10" max="10" width="5.5" bestFit="1" customWidth="1"/>
    <col min="11" max="11" width="4.3984375" customWidth="1"/>
    <col min="13" max="14" width="6.09765625" bestFit="1" customWidth="1"/>
  </cols>
  <sheetData>
    <row r="1" spans="1:19" ht="18" thickBot="1">
      <c r="A1" s="19" t="s">
        <v>64</v>
      </c>
    </row>
    <row r="2" spans="1:19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2:19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2:19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2:19">
      <c r="B19" s="2" t="s">
        <v>236</v>
      </c>
      <c r="C19" s="2" t="s">
        <v>237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2:19">
      <c r="B20" s="2">
        <v>1</v>
      </c>
      <c r="C20" s="2">
        <v>2</v>
      </c>
      <c r="D20" s="2"/>
      <c r="E20" s="2" t="s">
        <v>210</v>
      </c>
      <c r="F20" s="2" t="s">
        <v>211</v>
      </c>
      <c r="G20" s="2"/>
      <c r="H20" s="2"/>
      <c r="I20" s="2"/>
      <c r="J20" s="2" t="s">
        <v>212</v>
      </c>
      <c r="K20" s="2" t="s">
        <v>213</v>
      </c>
      <c r="L20" s="2"/>
      <c r="N20" s="2" t="s">
        <v>214</v>
      </c>
      <c r="O20" s="2"/>
      <c r="P20" s="2"/>
      <c r="Q20" s="2"/>
      <c r="R20" s="2"/>
      <c r="S20" s="2"/>
    </row>
    <row r="21" spans="2:19">
      <c r="B21" s="2"/>
      <c r="C21" s="2"/>
      <c r="D21" s="2">
        <v>1</v>
      </c>
      <c r="E21" s="7" t="s">
        <v>215</v>
      </c>
      <c r="F21" s="7" t="s">
        <v>207</v>
      </c>
      <c r="G21" s="7"/>
      <c r="J21" s="2">
        <v>0</v>
      </c>
      <c r="K21" s="2">
        <v>1</v>
      </c>
      <c r="L21" s="2"/>
      <c r="N21" s="2"/>
      <c r="O21" s="2"/>
      <c r="P21" s="2"/>
      <c r="Q21" s="2"/>
      <c r="R21" s="2"/>
      <c r="S21" s="2"/>
    </row>
    <row r="22" spans="2:19">
      <c r="B22" s="2"/>
      <c r="C22" s="2"/>
      <c r="D22" s="2">
        <v>2</v>
      </c>
      <c r="E22" s="7" t="s">
        <v>216</v>
      </c>
      <c r="F22" s="7" t="s">
        <v>207</v>
      </c>
      <c r="G22" s="7"/>
      <c r="J22" s="2">
        <v>1</v>
      </c>
      <c r="K22" s="2">
        <v>3</v>
      </c>
      <c r="L22" s="2"/>
      <c r="M22" s="2">
        <v>1</v>
      </c>
      <c r="N22" s="2">
        <v>-1</v>
      </c>
      <c r="O22" s="2"/>
      <c r="P22" s="2"/>
      <c r="Q22" s="2"/>
      <c r="R22" s="2"/>
      <c r="S22" s="2"/>
    </row>
    <row r="23" spans="2:19">
      <c r="B23" s="2"/>
      <c r="C23" s="2"/>
      <c r="D23" s="2">
        <v>3</v>
      </c>
      <c r="E23" s="7" t="s">
        <v>217</v>
      </c>
      <c r="F23" s="7" t="s">
        <v>207</v>
      </c>
      <c r="G23" s="7"/>
      <c r="J23" s="2">
        <v>2</v>
      </c>
      <c r="K23" s="2">
        <v>5</v>
      </c>
      <c r="L23" s="2"/>
      <c r="M23" s="2">
        <v>2</v>
      </c>
      <c r="N23" s="2">
        <v>4</v>
      </c>
      <c r="O23" s="2"/>
      <c r="P23" s="2"/>
      <c r="Q23" s="2"/>
      <c r="R23" s="2"/>
      <c r="S23" s="2"/>
    </row>
    <row r="24" spans="2:19">
      <c r="B24" s="2"/>
      <c r="C24" s="2"/>
      <c r="D24" s="2">
        <v>4</v>
      </c>
      <c r="E24" s="7" t="s">
        <v>218</v>
      </c>
      <c r="F24" s="7" t="s">
        <v>207</v>
      </c>
      <c r="G24" s="7"/>
      <c r="J24" s="2">
        <v>3</v>
      </c>
      <c r="K24" s="2">
        <v>4</v>
      </c>
      <c r="L24" s="2"/>
      <c r="M24" s="2">
        <v>3</v>
      </c>
      <c r="N24" s="2">
        <v>1</v>
      </c>
      <c r="O24" s="2"/>
      <c r="P24" s="2"/>
      <c r="Q24" s="2"/>
      <c r="R24" s="2"/>
      <c r="S24" s="2"/>
    </row>
    <row r="25" spans="2:19">
      <c r="B25" s="2"/>
      <c r="C25" s="2"/>
      <c r="D25" s="2">
        <v>5</v>
      </c>
      <c r="E25" s="7" t="s">
        <v>219</v>
      </c>
      <c r="F25" s="7" t="s">
        <v>207</v>
      </c>
      <c r="G25" s="7"/>
      <c r="H25" s="7" t="s">
        <v>208</v>
      </c>
      <c r="J25" s="2">
        <v>4</v>
      </c>
      <c r="K25" s="2">
        <v>2</v>
      </c>
      <c r="L25" s="2"/>
      <c r="M25" s="2">
        <v>4</v>
      </c>
      <c r="N25" s="2">
        <v>3</v>
      </c>
      <c r="O25" s="2"/>
      <c r="P25" s="2"/>
      <c r="Q25" s="2"/>
      <c r="R25" s="2"/>
      <c r="S25" s="2"/>
    </row>
    <row r="26" spans="2:19">
      <c r="B26" s="2"/>
      <c r="C26" s="2"/>
      <c r="D26" s="2"/>
      <c r="E26" s="2"/>
      <c r="F26" s="2"/>
      <c r="G26" s="2"/>
      <c r="H26" s="2"/>
      <c r="I26" s="2" t="s">
        <v>209</v>
      </c>
      <c r="J26" s="2">
        <v>5</v>
      </c>
      <c r="K26" s="2"/>
      <c r="L26" s="2"/>
      <c r="M26" s="2">
        <v>5</v>
      </c>
      <c r="N26" s="2">
        <v>1</v>
      </c>
      <c r="O26" s="2"/>
      <c r="P26" s="2"/>
      <c r="Q26" s="2"/>
      <c r="R26" s="2"/>
      <c r="S26" s="2"/>
    </row>
    <row r="27" spans="2:19">
      <c r="B27" s="2"/>
      <c r="C27" s="2"/>
      <c r="D27" s="2"/>
      <c r="E27" s="2"/>
      <c r="F27" s="2"/>
      <c r="G27" s="2"/>
      <c r="H27" s="2"/>
      <c r="I27" s="2"/>
      <c r="J27" s="2">
        <v>6</v>
      </c>
      <c r="K27" s="2"/>
      <c r="L27" s="2"/>
      <c r="M27" s="2"/>
      <c r="N27" s="2"/>
      <c r="O27" s="2"/>
      <c r="P27" s="2"/>
      <c r="Q27" s="2"/>
      <c r="R27" s="2"/>
      <c r="S27" s="2"/>
    </row>
    <row r="28" spans="2:19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</sheetData>
  <phoneticPr fontId="2" type="noConversion"/>
  <hyperlinks>
    <hyperlink ref="A1" location="목차!A1" display="HOME" xr:uid="{945F257D-3804-47DF-8758-67E472BB303F}"/>
  </hyperlink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B1866-04BD-41DB-A12E-C5A4DDD606EC}">
  <dimension ref="A1"/>
  <sheetViews>
    <sheetView workbookViewId="0">
      <selection activeCell="Q34" sqref="Q34"/>
    </sheetView>
  </sheetViews>
  <sheetFormatPr defaultRowHeight="17.399999999999999"/>
  <sheetData/>
  <phoneticPr fontId="2" type="noConversion"/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EF6D7-EA5E-4CE8-96CA-09C2C5773BEE}">
  <dimension ref="A1:CG95"/>
  <sheetViews>
    <sheetView topLeftCell="C27" zoomScale="115" zoomScaleNormal="115" workbookViewId="0">
      <selection activeCell="AF25" sqref="AF25"/>
    </sheetView>
  </sheetViews>
  <sheetFormatPr defaultColWidth="3.5" defaultRowHeight="17.399999999999999"/>
  <cols>
    <col min="1" max="1" width="8.09765625" style="2" customWidth="1"/>
    <col min="2" max="3" width="3.5" style="2"/>
    <col min="4" max="4" width="4.19921875" style="2" bestFit="1" customWidth="1"/>
    <col min="5" max="13" width="3.5" style="2"/>
    <col min="14" max="14" width="4.19921875" style="2" bestFit="1" customWidth="1"/>
    <col min="15" max="74" width="3.5" style="2"/>
    <col min="75" max="84" width="5.8984375" style="2" customWidth="1"/>
    <col min="85" max="85" width="7.69921875" style="2" customWidth="1"/>
    <col min="86" max="16384" width="3.5" style="2"/>
  </cols>
  <sheetData>
    <row r="1" spans="1:85" ht="18" thickBot="1">
      <c r="A1" s="19" t="s">
        <v>64</v>
      </c>
    </row>
    <row r="4" spans="1:85">
      <c r="AH4" s="42"/>
      <c r="AI4" s="21"/>
      <c r="AJ4" s="42"/>
      <c r="AK4" s="21"/>
      <c r="AL4" s="42"/>
      <c r="AM4" s="21"/>
      <c r="AN4" s="42"/>
    </row>
    <row r="5" spans="1:85">
      <c r="AH5" s="21"/>
      <c r="AI5" s="42"/>
      <c r="AJ5" s="21"/>
      <c r="AK5" s="42"/>
      <c r="AL5" s="21"/>
      <c r="AM5" s="42"/>
      <c r="AN5" s="21"/>
    </row>
    <row r="6" spans="1:85">
      <c r="AH6" s="42"/>
      <c r="AI6" s="21"/>
      <c r="AJ6" s="42"/>
      <c r="AK6" s="21"/>
      <c r="AL6" s="42"/>
      <c r="AM6" s="21"/>
      <c r="AN6" s="42"/>
    </row>
    <row r="7" spans="1:85">
      <c r="AH7" s="21"/>
      <c r="AI7" s="42"/>
      <c r="AJ7" s="21"/>
      <c r="AK7" s="42"/>
      <c r="AL7" s="21"/>
      <c r="AM7" s="42"/>
      <c r="AN7" s="21"/>
    </row>
    <row r="8" spans="1:85">
      <c r="AH8" s="42"/>
      <c r="AI8" s="21"/>
      <c r="AJ8" s="42"/>
      <c r="AK8" s="21"/>
      <c r="AL8" s="42"/>
      <c r="AM8" s="21"/>
      <c r="AN8" s="42"/>
      <c r="BX8" s="21">
        <v>4</v>
      </c>
      <c r="BY8" s="21">
        <v>8</v>
      </c>
      <c r="BZ8" s="21">
        <v>2</v>
      </c>
      <c r="CD8" s="102" t="s">
        <v>226</v>
      </c>
      <c r="CE8" s="102"/>
      <c r="CF8" s="102"/>
      <c r="CG8" s="2" t="s">
        <v>227</v>
      </c>
    </row>
    <row r="9" spans="1:85">
      <c r="AH9" s="21"/>
      <c r="AI9" s="42"/>
      <c r="AJ9" s="21"/>
      <c r="AK9" s="42"/>
      <c r="AL9" s="21"/>
      <c r="AM9" s="42"/>
      <c r="AN9" s="21"/>
      <c r="CC9" s="2" t="s">
        <v>228</v>
      </c>
      <c r="CD9" s="2" t="s">
        <v>220</v>
      </c>
      <c r="CE9" s="2" t="s">
        <v>221</v>
      </c>
      <c r="CF9" s="2" t="s">
        <v>229</v>
      </c>
      <c r="CG9" s="2" t="s">
        <v>230</v>
      </c>
    </row>
    <row r="10" spans="1:85">
      <c r="AH10" s="42"/>
      <c r="AI10" s="21"/>
      <c r="AJ10" s="42"/>
      <c r="AK10" s="21"/>
      <c r="AL10" s="42"/>
      <c r="AM10" s="21"/>
      <c r="AN10" s="42"/>
      <c r="BX10" s="35" t="s">
        <v>231</v>
      </c>
      <c r="BY10" s="35" t="s">
        <v>232</v>
      </c>
      <c r="BZ10" s="35" t="s">
        <v>233</v>
      </c>
      <c r="CA10" s="26"/>
      <c r="CC10" s="82">
        <v>0</v>
      </c>
      <c r="CD10" s="21"/>
      <c r="CE10" s="21"/>
      <c r="CF10" s="21"/>
      <c r="CG10" s="21">
        <v>0</v>
      </c>
    </row>
    <row r="11" spans="1:85">
      <c r="AH11" s="21"/>
      <c r="AI11" s="42"/>
      <c r="AJ11" s="21"/>
      <c r="AK11" s="42"/>
      <c r="AL11" s="21"/>
      <c r="AM11" s="42"/>
      <c r="AN11" s="21"/>
      <c r="BX11" s="21">
        <v>4</v>
      </c>
      <c r="BY11" s="21">
        <v>2</v>
      </c>
      <c r="BZ11" s="21">
        <v>3</v>
      </c>
      <c r="CC11" s="82">
        <v>1</v>
      </c>
      <c r="CD11" s="21">
        <v>0</v>
      </c>
      <c r="CE11" s="21">
        <v>2</v>
      </c>
      <c r="CF11" s="21">
        <v>3</v>
      </c>
      <c r="CG11" s="21">
        <v>6</v>
      </c>
    </row>
    <row r="12" spans="1:85">
      <c r="BX12" s="21">
        <v>3</v>
      </c>
      <c r="BY12" s="21">
        <v>1</v>
      </c>
      <c r="BZ12" s="21">
        <v>2</v>
      </c>
      <c r="CC12" s="82">
        <v>2</v>
      </c>
      <c r="CD12" s="21">
        <v>0</v>
      </c>
      <c r="CE12" s="21">
        <v>1</v>
      </c>
      <c r="CF12" s="21">
        <v>2</v>
      </c>
      <c r="CG12" s="21">
        <v>5</v>
      </c>
    </row>
    <row r="13" spans="1:85">
      <c r="BX13" s="21">
        <v>2</v>
      </c>
      <c r="BY13" s="21">
        <v>1</v>
      </c>
      <c r="BZ13" s="21">
        <v>1</v>
      </c>
      <c r="CC13" s="82">
        <v>3</v>
      </c>
      <c r="CD13" s="21">
        <v>0</v>
      </c>
      <c r="CE13" s="21">
        <v>1</v>
      </c>
      <c r="CF13" s="21">
        <v>1</v>
      </c>
      <c r="CG13" s="21">
        <v>2</v>
      </c>
    </row>
    <row r="14" spans="1:85">
      <c r="BX14" s="21">
        <v>1</v>
      </c>
      <c r="BY14" s="21">
        <v>2</v>
      </c>
      <c r="BZ14" s="21">
        <v>4</v>
      </c>
      <c r="CC14" s="82">
        <v>4</v>
      </c>
      <c r="CD14" s="21">
        <v>0</v>
      </c>
      <c r="CE14" s="21">
        <v>2</v>
      </c>
      <c r="CF14" s="21">
        <v>4</v>
      </c>
      <c r="CG14" s="21">
        <v>1</v>
      </c>
    </row>
    <row r="15" spans="1:85">
      <c r="BX15" s="21">
        <v>2</v>
      </c>
      <c r="BY15" s="21">
        <v>3</v>
      </c>
      <c r="BZ15" s="21">
        <v>5</v>
      </c>
      <c r="CC15" s="82">
        <v>5</v>
      </c>
      <c r="CD15" s="21">
        <v>3</v>
      </c>
      <c r="CE15" s="21">
        <v>3</v>
      </c>
      <c r="CF15" s="21">
        <v>5</v>
      </c>
      <c r="CG15" s="21">
        <v>0</v>
      </c>
    </row>
    <row r="16" spans="1:85">
      <c r="BX16" s="21">
        <v>1</v>
      </c>
      <c r="BY16" s="21">
        <v>3</v>
      </c>
      <c r="BZ16" s="21">
        <v>2</v>
      </c>
      <c r="CC16" s="82">
        <v>6</v>
      </c>
      <c r="CD16" s="21">
        <v>4</v>
      </c>
      <c r="CE16" s="21">
        <v>3</v>
      </c>
      <c r="CF16" s="21">
        <v>2</v>
      </c>
      <c r="CG16" s="21">
        <v>0</v>
      </c>
    </row>
    <row r="17" spans="3:85">
      <c r="BX17" s="21">
        <v>3</v>
      </c>
      <c r="BY17" s="21">
        <v>4</v>
      </c>
      <c r="BZ17" s="21">
        <v>4</v>
      </c>
      <c r="CC17" s="82">
        <v>7</v>
      </c>
      <c r="CD17" s="21"/>
      <c r="CE17" s="21"/>
      <c r="CF17" s="21"/>
      <c r="CG17" s="21">
        <v>0</v>
      </c>
    </row>
    <row r="18" spans="3:85">
      <c r="AF18"/>
      <c r="BX18" s="21">
        <v>1</v>
      </c>
      <c r="BY18" s="21">
        <v>4</v>
      </c>
      <c r="BZ18" s="21">
        <v>7</v>
      </c>
      <c r="CC18" s="82">
        <v>8</v>
      </c>
      <c r="CD18" s="21"/>
      <c r="CE18" s="21"/>
      <c r="CF18" s="21"/>
      <c r="CG18" s="21">
        <v>0</v>
      </c>
    </row>
    <row r="19" spans="3:85">
      <c r="BX19" s="21"/>
      <c r="BY19" s="21"/>
      <c r="BZ19" s="21"/>
      <c r="CC19" s="82">
        <v>9</v>
      </c>
      <c r="CD19" s="21"/>
      <c r="CE19" s="21"/>
      <c r="CF19" s="21"/>
      <c r="CG19" s="21">
        <v>0</v>
      </c>
    </row>
    <row r="20" spans="3:85">
      <c r="BX20" s="21"/>
      <c r="BY20" s="21"/>
      <c r="BZ20" s="21"/>
      <c r="CC20" s="82">
        <v>10</v>
      </c>
      <c r="CD20" s="21"/>
      <c r="CE20" s="21"/>
      <c r="CF20" s="21"/>
      <c r="CG20" s="21">
        <v>0</v>
      </c>
    </row>
    <row r="21" spans="3:85">
      <c r="BX21" s="21"/>
      <c r="BY21" s="21"/>
      <c r="BZ21" s="21"/>
      <c r="CC21" s="82">
        <v>11</v>
      </c>
      <c r="CD21" s="21"/>
      <c r="CE21" s="21"/>
      <c r="CF21" s="21"/>
      <c r="CG21" s="21">
        <v>0</v>
      </c>
    </row>
    <row r="22" spans="3:85">
      <c r="BX22" s="21"/>
      <c r="BY22" s="21"/>
      <c r="BZ22" s="21"/>
      <c r="CC22" s="82">
        <v>12</v>
      </c>
      <c r="CD22" s="21"/>
      <c r="CE22" s="21"/>
      <c r="CF22" s="21"/>
      <c r="CG22" s="21">
        <v>0</v>
      </c>
    </row>
    <row r="23" spans="3:85">
      <c r="BX23" s="21"/>
      <c r="BY23" s="21"/>
      <c r="BZ23" s="21"/>
      <c r="CC23" s="82">
        <v>13</v>
      </c>
      <c r="CD23" s="21"/>
      <c r="CE23" s="21"/>
      <c r="CF23" s="21"/>
      <c r="CG23" s="21">
        <v>0</v>
      </c>
    </row>
    <row r="24" spans="3:85">
      <c r="BX24" s="21"/>
      <c r="BY24" s="21"/>
      <c r="BZ24" s="21"/>
      <c r="CC24" s="82"/>
      <c r="CD24" s="21"/>
      <c r="CE24" s="21"/>
      <c r="CF24" s="21"/>
      <c r="CG24" s="21"/>
    </row>
    <row r="25" spans="3:85">
      <c r="BX25" s="21"/>
      <c r="BY25" s="21"/>
      <c r="BZ25" s="21"/>
      <c r="CC25" s="82"/>
      <c r="CD25" s="21"/>
      <c r="CE25" s="21"/>
      <c r="CF25" s="21"/>
      <c r="CG25" s="21"/>
    </row>
    <row r="26" spans="3:85">
      <c r="BX26" s="21"/>
      <c r="BY26" s="21"/>
      <c r="BZ26" s="21"/>
      <c r="CC26" s="82"/>
      <c r="CD26" s="21"/>
      <c r="CE26" s="21"/>
      <c r="CF26" s="21"/>
      <c r="CG26" s="21"/>
    </row>
    <row r="27" spans="3:85">
      <c r="BX27" s="21"/>
      <c r="BY27" s="21"/>
      <c r="BZ27" s="21"/>
      <c r="CC27" s="82"/>
      <c r="CD27" s="21"/>
      <c r="CE27" s="21"/>
      <c r="CF27" s="21"/>
      <c r="CG27" s="21"/>
    </row>
    <row r="28" spans="3:85">
      <c r="CC28" s="82"/>
      <c r="CD28" s="21"/>
      <c r="CE28" s="21"/>
      <c r="CF28" s="21"/>
      <c r="CG28" s="21"/>
    </row>
    <row r="29" spans="3:85">
      <c r="D29" s="2">
        <v>5</v>
      </c>
      <c r="E29" s="2">
        <v>6</v>
      </c>
      <c r="CC29" s="82"/>
      <c r="CD29" s="21"/>
      <c r="CE29" s="21"/>
      <c r="CF29" s="21"/>
      <c r="CG29" s="21"/>
    </row>
    <row r="30" spans="3:85"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CC30" s="82"/>
      <c r="CD30" s="21"/>
      <c r="CE30" s="21"/>
      <c r="CF30" s="21"/>
      <c r="CG30" s="21"/>
    </row>
    <row r="31" spans="3:85">
      <c r="C31" s="2">
        <v>0</v>
      </c>
      <c r="D31" s="21">
        <v>-1</v>
      </c>
      <c r="E31" s="21">
        <v>-1</v>
      </c>
      <c r="F31" s="21">
        <v>-2</v>
      </c>
      <c r="G31" s="21">
        <v>-1</v>
      </c>
      <c r="H31" s="21">
        <v>-2</v>
      </c>
      <c r="I31" s="21">
        <v>-2</v>
      </c>
      <c r="J31" s="2">
        <v>0</v>
      </c>
    </row>
    <row r="32" spans="3:85">
      <c r="C32" s="2">
        <v>0</v>
      </c>
      <c r="D32" s="21">
        <v>-1</v>
      </c>
      <c r="E32" s="21">
        <v>-2</v>
      </c>
      <c r="F32" s="21">
        <v>-2</v>
      </c>
      <c r="G32" s="21">
        <v>-1</v>
      </c>
      <c r="H32" s="21">
        <v>-1</v>
      </c>
      <c r="I32" s="21">
        <v>-1</v>
      </c>
      <c r="J32" s="2">
        <v>0</v>
      </c>
    </row>
    <row r="33" spans="3:13">
      <c r="C33" s="2">
        <v>0</v>
      </c>
      <c r="D33" s="21">
        <v>-1</v>
      </c>
      <c r="E33" s="21">
        <v>-1</v>
      </c>
      <c r="F33" s="21">
        <v>-2</v>
      </c>
      <c r="G33" s="21">
        <v>-1</v>
      </c>
      <c r="H33" s="21">
        <v>-1</v>
      </c>
      <c r="I33" s="21">
        <v>-1</v>
      </c>
      <c r="J33" s="2">
        <v>0</v>
      </c>
    </row>
    <row r="34" spans="3:13">
      <c r="C34" s="2">
        <v>0</v>
      </c>
      <c r="D34" s="21">
        <v>-2</v>
      </c>
      <c r="E34" s="21">
        <v>-2</v>
      </c>
      <c r="F34" s="21">
        <v>-2</v>
      </c>
      <c r="G34" s="21">
        <v>-2</v>
      </c>
      <c r="H34" s="21">
        <v>-2</v>
      </c>
      <c r="I34" s="21">
        <v>-2</v>
      </c>
      <c r="J34" s="2">
        <v>0</v>
      </c>
    </row>
    <row r="35" spans="3:13">
      <c r="C35" s="2">
        <v>0</v>
      </c>
      <c r="D35" s="21">
        <v>-1</v>
      </c>
      <c r="E35" s="21">
        <v>-1</v>
      </c>
      <c r="F35" s="21">
        <v>-1</v>
      </c>
      <c r="G35" s="21">
        <v>-2</v>
      </c>
      <c r="H35" s="21">
        <v>-1</v>
      </c>
      <c r="I35" s="21">
        <v>-1</v>
      </c>
      <c r="J35" s="2">
        <v>0</v>
      </c>
    </row>
    <row r="36" spans="3:13"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</row>
    <row r="39" spans="3:13">
      <c r="D39" s="74">
        <v>1</v>
      </c>
      <c r="E39" s="74">
        <v>1</v>
      </c>
      <c r="F39" s="75">
        <v>2</v>
      </c>
      <c r="G39" s="43">
        <v>3</v>
      </c>
      <c r="H39" s="21">
        <v>4</v>
      </c>
      <c r="I39" s="21">
        <v>4</v>
      </c>
      <c r="M39" s="2">
        <v>2</v>
      </c>
    </row>
    <row r="40" spans="3:13">
      <c r="D40" s="74">
        <v>1</v>
      </c>
      <c r="E40" s="75">
        <v>2</v>
      </c>
      <c r="F40" s="75">
        <v>2</v>
      </c>
      <c r="G40" s="43">
        <v>3</v>
      </c>
      <c r="H40" s="43">
        <v>3</v>
      </c>
      <c r="I40" s="43">
        <v>3</v>
      </c>
    </row>
    <row r="41" spans="3:13">
      <c r="D41" s="74">
        <v>1</v>
      </c>
      <c r="E41" s="74">
        <v>1</v>
      </c>
      <c r="F41" s="75">
        <v>2</v>
      </c>
      <c r="G41" s="43">
        <v>3</v>
      </c>
      <c r="H41" s="43">
        <v>3</v>
      </c>
      <c r="I41" s="43">
        <v>3</v>
      </c>
    </row>
    <row r="42" spans="3:13">
      <c r="D42" s="75">
        <v>2</v>
      </c>
      <c r="E42" s="75">
        <v>2</v>
      </c>
      <c r="F42" s="75">
        <v>2</v>
      </c>
      <c r="G42" s="75">
        <v>2</v>
      </c>
      <c r="H42" s="75">
        <v>2</v>
      </c>
      <c r="I42" s="75">
        <v>2</v>
      </c>
    </row>
    <row r="43" spans="3:13">
      <c r="D43" s="76">
        <v>5</v>
      </c>
      <c r="E43" s="76">
        <v>5</v>
      </c>
      <c r="F43" s="76">
        <v>5</v>
      </c>
      <c r="G43" s="75">
        <v>2</v>
      </c>
      <c r="H43" s="77">
        <v>6</v>
      </c>
      <c r="I43" s="77">
        <v>6</v>
      </c>
    </row>
    <row r="46" spans="3:13">
      <c r="C46" s="2" t="s">
        <v>222</v>
      </c>
    </row>
    <row r="47" spans="3:13">
      <c r="C47" s="2">
        <v>1</v>
      </c>
      <c r="D47" s="2">
        <v>2</v>
      </c>
    </row>
    <row r="48" spans="3:13">
      <c r="C48" s="2">
        <v>2</v>
      </c>
      <c r="D48" s="2">
        <v>3</v>
      </c>
    </row>
    <row r="49" spans="3:4">
      <c r="C49" s="2">
        <v>3</v>
      </c>
      <c r="D49" s="2">
        <v>0</v>
      </c>
    </row>
    <row r="50" spans="3:4">
      <c r="C50" s="2">
        <v>4</v>
      </c>
      <c r="D50" s="2">
        <v>0</v>
      </c>
    </row>
    <row r="51" spans="3:4">
      <c r="C51" s="2">
        <v>5</v>
      </c>
      <c r="D51" s="2">
        <v>0</v>
      </c>
    </row>
    <row r="52" spans="3:4">
      <c r="C52" s="2">
        <v>6</v>
      </c>
      <c r="D52" s="2">
        <v>0</v>
      </c>
    </row>
    <row r="75" spans="32:35">
      <c r="AF75" s="2" t="s">
        <v>223</v>
      </c>
      <c r="AI75" s="2">
        <v>7</v>
      </c>
    </row>
    <row r="76" spans="32:35">
      <c r="AF76" s="2" t="s">
        <v>224</v>
      </c>
      <c r="AI76" s="2">
        <v>11</v>
      </c>
    </row>
    <row r="85" spans="4:14">
      <c r="E85" s="20">
        <v>0</v>
      </c>
      <c r="F85" s="20">
        <v>1</v>
      </c>
      <c r="G85" s="20">
        <v>2</v>
      </c>
      <c r="H85" s="20">
        <v>3</v>
      </c>
      <c r="I85" s="20">
        <v>4</v>
      </c>
      <c r="J85" s="20">
        <v>5</v>
      </c>
      <c r="K85" s="20">
        <v>6</v>
      </c>
      <c r="L85" s="20">
        <v>7</v>
      </c>
      <c r="M85" s="2" t="s">
        <v>91</v>
      </c>
      <c r="N85" s="2">
        <v>100</v>
      </c>
    </row>
    <row r="86" spans="4:14">
      <c r="D86" s="20">
        <v>0</v>
      </c>
    </row>
    <row r="87" spans="4:14">
      <c r="D87" s="20">
        <v>1</v>
      </c>
      <c r="F87" s="78"/>
      <c r="G87" s="21"/>
      <c r="H87" s="78"/>
      <c r="I87" s="21"/>
      <c r="J87" s="78"/>
      <c r="K87" s="21"/>
    </row>
    <row r="88" spans="4:14">
      <c r="D88" s="20">
        <v>2</v>
      </c>
      <c r="F88" s="21"/>
      <c r="G88" s="78"/>
      <c r="H88" s="21"/>
      <c r="I88" s="78"/>
      <c r="J88" s="21"/>
      <c r="K88" s="78"/>
    </row>
    <row r="89" spans="4:14">
      <c r="D89" s="20">
        <v>3</v>
      </c>
      <c r="F89" s="78"/>
      <c r="G89" s="21"/>
      <c r="H89" s="78"/>
      <c r="I89" s="21"/>
      <c r="J89" s="78"/>
      <c r="K89" s="21"/>
    </row>
    <row r="90" spans="4:14">
      <c r="D90" s="20">
        <v>4</v>
      </c>
      <c r="F90" s="21"/>
      <c r="G90" s="78"/>
      <c r="H90" s="21"/>
      <c r="I90" s="78"/>
      <c r="J90" s="21"/>
      <c r="K90" s="78"/>
    </row>
    <row r="91" spans="4:14">
      <c r="D91" s="20">
        <v>5</v>
      </c>
      <c r="F91" s="78"/>
      <c r="G91" s="21"/>
      <c r="H91" s="78"/>
      <c r="I91" s="21"/>
      <c r="J91" s="78"/>
      <c r="K91" s="21"/>
    </row>
    <row r="92" spans="4:14">
      <c r="D92" s="20">
        <v>6</v>
      </c>
      <c r="F92" s="21"/>
      <c r="G92" s="78"/>
      <c r="H92" s="21"/>
      <c r="I92" s="78"/>
      <c r="J92" s="21"/>
      <c r="K92" s="78"/>
    </row>
    <row r="93" spans="4:14">
      <c r="D93" s="20">
        <v>7</v>
      </c>
    </row>
    <row r="94" spans="4:14">
      <c r="D94" s="2" t="s">
        <v>91</v>
      </c>
    </row>
    <row r="95" spans="4:14">
      <c r="D95" s="2">
        <v>100</v>
      </c>
    </row>
  </sheetData>
  <mergeCells count="1">
    <mergeCell ref="CD8:CF8"/>
  </mergeCells>
  <phoneticPr fontId="2" type="noConversion"/>
  <hyperlinks>
    <hyperlink ref="A1" location="목차!A1" display="HOME" xr:uid="{B0871163-F338-42C1-A2F1-61F66FC45D93}"/>
  </hyperlink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128F5-9F08-4CF4-AE70-B684A5D8944D}">
  <dimension ref="A1:S19"/>
  <sheetViews>
    <sheetView topLeftCell="A5" workbookViewId="0">
      <selection activeCell="O10" sqref="O10"/>
    </sheetView>
  </sheetViews>
  <sheetFormatPr defaultRowHeight="17.399999999999999"/>
  <cols>
    <col min="1" max="1" width="6.69921875" customWidth="1"/>
  </cols>
  <sheetData>
    <row r="1" spans="1:19" ht="18" thickBot="1">
      <c r="A1" s="19" t="s">
        <v>64</v>
      </c>
    </row>
    <row r="2" spans="1:19" ht="36">
      <c r="B2" s="79"/>
      <c r="C2" s="79" t="s">
        <v>122</v>
      </c>
      <c r="D2" s="79" t="s">
        <v>225</v>
      </c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</row>
    <row r="3" spans="1:19" ht="36">
      <c r="B3" s="79"/>
      <c r="C3" s="79">
        <v>5</v>
      </c>
      <c r="D3" s="79">
        <v>5</v>
      </c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</row>
    <row r="4" spans="1:19" ht="36">
      <c r="B4" s="79"/>
      <c r="C4" s="80">
        <v>1</v>
      </c>
      <c r="D4" s="80">
        <v>2</v>
      </c>
      <c r="E4" s="80">
        <v>3</v>
      </c>
      <c r="F4" s="80">
        <v>4</v>
      </c>
      <c r="G4" s="80">
        <v>5</v>
      </c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</row>
    <row r="5" spans="1:19" ht="36">
      <c r="B5" s="80">
        <v>1</v>
      </c>
      <c r="C5" s="81">
        <v>0</v>
      </c>
      <c r="D5" s="81">
        <v>2</v>
      </c>
      <c r="E5" s="81">
        <v>2</v>
      </c>
      <c r="F5" s="81">
        <v>5</v>
      </c>
      <c r="G5" s="81">
        <v>9</v>
      </c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</row>
    <row r="6" spans="1:19" ht="36">
      <c r="B6" s="80">
        <v>2</v>
      </c>
      <c r="C6" s="81">
        <v>2</v>
      </c>
      <c r="D6" s="81">
        <v>0</v>
      </c>
      <c r="E6" s="81">
        <v>3</v>
      </c>
      <c r="F6" s="81">
        <v>4</v>
      </c>
      <c r="G6" s="81">
        <v>8</v>
      </c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</row>
    <row r="7" spans="1:19" ht="36">
      <c r="B7" s="80">
        <v>3</v>
      </c>
      <c r="C7" s="81">
        <v>2</v>
      </c>
      <c r="D7" s="81">
        <v>3</v>
      </c>
      <c r="E7" s="81">
        <v>0</v>
      </c>
      <c r="F7" s="81">
        <v>7</v>
      </c>
      <c r="G7" s="81">
        <v>6</v>
      </c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</row>
    <row r="8" spans="1:19" ht="36">
      <c r="B8" s="80">
        <v>4</v>
      </c>
      <c r="C8" s="81">
        <v>5</v>
      </c>
      <c r="D8" s="81">
        <v>4</v>
      </c>
      <c r="E8" s="81">
        <v>7</v>
      </c>
      <c r="F8" s="81">
        <v>0</v>
      </c>
      <c r="G8" s="81">
        <v>5</v>
      </c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</row>
    <row r="9" spans="1:19" ht="36">
      <c r="B9" s="80">
        <v>5</v>
      </c>
      <c r="C9" s="81">
        <v>9</v>
      </c>
      <c r="D9" s="81">
        <v>5</v>
      </c>
      <c r="E9" s="81">
        <v>6</v>
      </c>
      <c r="F9" s="81">
        <v>5</v>
      </c>
      <c r="G9" s="81">
        <v>0</v>
      </c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</row>
    <row r="10" spans="1:19" ht="36"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spans="1:19" ht="36"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</row>
    <row r="12" spans="1:19" ht="36"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</row>
    <row r="13" spans="1:19" ht="36"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</row>
    <row r="14" spans="1:19" ht="36"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</row>
    <row r="15" spans="1:19" ht="36"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</row>
    <row r="16" spans="1:19" ht="36"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</row>
    <row r="17" spans="2:19" ht="36"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</row>
    <row r="18" spans="2:19" ht="36"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</row>
    <row r="19" spans="2:19" ht="36"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</row>
  </sheetData>
  <phoneticPr fontId="2" type="noConversion"/>
  <hyperlinks>
    <hyperlink ref="A1" location="목차!A1" display="HOME" xr:uid="{76A4E430-E0F7-4030-8B34-A2797604B790}"/>
  </hyperlink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B51B8-661C-49B8-900B-4A0FC318A614}">
  <dimension ref="A1:W32"/>
  <sheetViews>
    <sheetView topLeftCell="A2" zoomScale="115" zoomScaleNormal="115" workbookViewId="0">
      <selection activeCell="L11" sqref="L11"/>
    </sheetView>
  </sheetViews>
  <sheetFormatPr defaultRowHeight="17.399999999999999"/>
  <cols>
    <col min="1" max="1" width="6.69921875" customWidth="1"/>
    <col min="3" max="5" width="6" customWidth="1"/>
    <col min="8" max="12" width="7.09765625" customWidth="1"/>
  </cols>
  <sheetData>
    <row r="1" spans="1:23" ht="18" thickBot="1">
      <c r="A1" s="19" t="s">
        <v>64</v>
      </c>
    </row>
    <row r="2" spans="1:2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>
      <c r="B6" s="2"/>
      <c r="C6" s="21">
        <v>4</v>
      </c>
      <c r="D6" s="21">
        <v>8</v>
      </c>
      <c r="E6" s="21">
        <v>2</v>
      </c>
      <c r="F6" s="2"/>
      <c r="G6" s="2"/>
      <c r="H6" s="2"/>
      <c r="I6" s="102" t="s">
        <v>226</v>
      </c>
      <c r="J6" s="102"/>
      <c r="K6" s="102"/>
      <c r="L6" s="2" t="s">
        <v>227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>
      <c r="B7" s="2"/>
      <c r="C7" s="2"/>
      <c r="D7" s="2"/>
      <c r="E7" s="2"/>
      <c r="F7" s="2"/>
      <c r="G7" s="2"/>
      <c r="H7" s="2" t="s">
        <v>228</v>
      </c>
      <c r="I7" s="2" t="s">
        <v>220</v>
      </c>
      <c r="J7" s="2" t="s">
        <v>221</v>
      </c>
      <c r="K7" s="2" t="s">
        <v>229</v>
      </c>
      <c r="L7" s="2" t="s">
        <v>230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>
      <c r="B8" s="2"/>
      <c r="C8" s="35" t="s">
        <v>231</v>
      </c>
      <c r="D8" s="35" t="s">
        <v>232</v>
      </c>
      <c r="E8" s="35" t="s">
        <v>233</v>
      </c>
      <c r="F8" s="26"/>
      <c r="G8" s="2"/>
      <c r="H8" s="82">
        <v>0</v>
      </c>
      <c r="I8" s="21"/>
      <c r="J8" s="21"/>
      <c r="K8" s="21"/>
      <c r="L8" s="21">
        <v>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>
      <c r="B9" s="2"/>
      <c r="C9" s="21">
        <v>2</v>
      </c>
      <c r="D9" s="21">
        <v>1</v>
      </c>
      <c r="E9" s="21">
        <v>1</v>
      </c>
      <c r="F9" s="2"/>
      <c r="G9" s="2"/>
      <c r="H9" s="82">
        <v>1</v>
      </c>
      <c r="I9" s="21">
        <v>0</v>
      </c>
      <c r="J9" s="21">
        <v>1</v>
      </c>
      <c r="K9" s="21">
        <v>1</v>
      </c>
      <c r="L9" s="21">
        <v>3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>
      <c r="B10" s="2"/>
      <c r="C10" s="21">
        <v>4</v>
      </c>
      <c r="D10" s="21">
        <v>2</v>
      </c>
      <c r="E10" s="21">
        <v>3</v>
      </c>
      <c r="F10" s="2"/>
      <c r="G10" s="2"/>
      <c r="H10" s="82">
        <v>2</v>
      </c>
      <c r="I10" s="21">
        <v>0</v>
      </c>
      <c r="J10" s="21">
        <v>2</v>
      </c>
      <c r="K10" s="21">
        <v>3</v>
      </c>
      <c r="L10" s="21">
        <v>5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>
      <c r="B11" s="2"/>
      <c r="C11" s="21">
        <v>1</v>
      </c>
      <c r="D11" s="21">
        <v>4</v>
      </c>
      <c r="E11" s="21">
        <v>7</v>
      </c>
      <c r="F11" s="2"/>
      <c r="G11" s="2"/>
      <c r="H11" s="82">
        <v>3</v>
      </c>
      <c r="I11" s="21">
        <v>0</v>
      </c>
      <c r="J11" s="21">
        <v>4</v>
      </c>
      <c r="K11" s="21">
        <v>7</v>
      </c>
      <c r="L11" s="21">
        <v>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>
      <c r="B12" s="2"/>
      <c r="C12" s="21">
        <v>4</v>
      </c>
      <c r="D12" s="21">
        <v>1</v>
      </c>
      <c r="E12" s="21">
        <v>5</v>
      </c>
      <c r="F12" s="2"/>
      <c r="G12" s="2"/>
      <c r="H12" s="82">
        <v>4</v>
      </c>
      <c r="I12" s="21">
        <v>2</v>
      </c>
      <c r="J12" s="21">
        <v>1</v>
      </c>
      <c r="K12" s="21">
        <v>5</v>
      </c>
      <c r="L12" s="21">
        <v>4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>
      <c r="B13" s="2"/>
      <c r="C13" s="21">
        <v>2</v>
      </c>
      <c r="D13" s="21">
        <v>3</v>
      </c>
      <c r="E13" s="21">
        <v>5</v>
      </c>
      <c r="F13" s="2"/>
      <c r="G13" s="2"/>
      <c r="H13" s="82">
        <v>5</v>
      </c>
      <c r="I13" s="21">
        <v>1</v>
      </c>
      <c r="J13" s="21">
        <v>3</v>
      </c>
      <c r="K13" s="21">
        <v>5</v>
      </c>
      <c r="L13" s="21">
        <v>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>
      <c r="B14" s="2"/>
      <c r="C14" s="21">
        <v>3</v>
      </c>
      <c r="D14" s="21">
        <v>1</v>
      </c>
      <c r="E14" s="21">
        <v>2</v>
      </c>
      <c r="F14" s="2"/>
      <c r="G14" s="2"/>
      <c r="H14" s="82">
        <v>6</v>
      </c>
      <c r="I14" s="21"/>
      <c r="J14" s="21"/>
      <c r="K14" s="21"/>
      <c r="L14" s="21">
        <v>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>
      <c r="B15" s="2"/>
      <c r="C15" s="21">
        <v>1</v>
      </c>
      <c r="D15" s="21">
        <v>2</v>
      </c>
      <c r="E15" s="21">
        <v>4</v>
      </c>
      <c r="F15" s="2"/>
      <c r="G15" s="2"/>
      <c r="H15" s="82">
        <v>7</v>
      </c>
      <c r="I15" s="21"/>
      <c r="J15" s="21"/>
      <c r="K15" s="21"/>
      <c r="L15" s="21">
        <v>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>
      <c r="B16" s="2"/>
      <c r="C16" s="21">
        <v>1</v>
      </c>
      <c r="D16" s="21">
        <v>3</v>
      </c>
      <c r="E16" s="21">
        <v>2</v>
      </c>
      <c r="F16" s="2"/>
      <c r="G16" s="2"/>
      <c r="H16" s="82">
        <v>8</v>
      </c>
      <c r="I16" s="21"/>
      <c r="J16" s="21"/>
      <c r="K16" s="21"/>
      <c r="L16" s="21">
        <v>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2:23">
      <c r="B17" s="2"/>
      <c r="C17" s="21">
        <v>3</v>
      </c>
      <c r="D17" s="21">
        <v>4</v>
      </c>
      <c r="E17" s="21">
        <v>4</v>
      </c>
      <c r="F17" s="2"/>
      <c r="G17" s="2"/>
      <c r="H17" s="82">
        <v>9</v>
      </c>
      <c r="I17" s="21"/>
      <c r="J17" s="21"/>
      <c r="K17" s="21"/>
      <c r="L17" s="21">
        <v>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2:23">
      <c r="B18" s="2"/>
      <c r="F18" s="2"/>
      <c r="G18" s="2"/>
      <c r="H18" s="82">
        <v>10</v>
      </c>
      <c r="I18" s="21"/>
      <c r="J18" s="21"/>
      <c r="K18" s="21"/>
      <c r="L18" s="21">
        <v>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2:23">
      <c r="B19" s="2"/>
      <c r="F19" s="2"/>
      <c r="G19" s="2"/>
      <c r="H19" s="82">
        <v>11</v>
      </c>
      <c r="I19" s="21"/>
      <c r="J19" s="21"/>
      <c r="K19" s="21"/>
      <c r="L19" s="21">
        <v>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2:23">
      <c r="B20" s="2"/>
      <c r="F20" s="2"/>
      <c r="G20" s="2"/>
      <c r="H20" s="82">
        <v>12</v>
      </c>
      <c r="I20" s="21"/>
      <c r="J20" s="21"/>
      <c r="K20" s="21"/>
      <c r="L20" s="21">
        <v>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2:23">
      <c r="B21" s="2"/>
      <c r="F21" s="2"/>
      <c r="G21" s="2"/>
      <c r="H21" s="82">
        <v>13</v>
      </c>
      <c r="I21" s="21"/>
      <c r="J21" s="21"/>
      <c r="K21" s="21"/>
      <c r="L21" s="21">
        <v>0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2:23">
      <c r="B22" s="2"/>
      <c r="F22" s="2"/>
      <c r="G22" s="2"/>
      <c r="H22" s="82"/>
      <c r="I22" s="21"/>
      <c r="J22" s="21"/>
      <c r="K22" s="21"/>
      <c r="L22" s="21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2:23">
      <c r="B23" s="2"/>
      <c r="F23" s="2"/>
      <c r="G23" s="2"/>
      <c r="H23" s="82"/>
      <c r="I23" s="21"/>
      <c r="J23" s="21"/>
      <c r="K23" s="21"/>
      <c r="L23" s="21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2:23">
      <c r="B24" s="2"/>
      <c r="F24" s="2"/>
      <c r="G24" s="2"/>
      <c r="H24" s="82"/>
      <c r="I24" s="21"/>
      <c r="J24" s="21"/>
      <c r="K24" s="21"/>
      <c r="L24" s="21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2:23">
      <c r="B25" s="2"/>
      <c r="F25" s="2"/>
      <c r="G25" s="2"/>
      <c r="H25" s="82"/>
      <c r="I25" s="21"/>
      <c r="J25" s="21"/>
      <c r="K25" s="21"/>
      <c r="L25" s="21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2:23">
      <c r="B26" s="2"/>
      <c r="F26" s="2"/>
      <c r="G26" s="2"/>
      <c r="H26" s="82"/>
      <c r="I26" s="21"/>
      <c r="J26" s="21"/>
      <c r="K26" s="21"/>
      <c r="L26" s="21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2:23">
      <c r="B27" s="2"/>
      <c r="F27" s="2"/>
      <c r="G27" s="2"/>
      <c r="H27" s="82"/>
      <c r="I27" s="21"/>
      <c r="J27" s="21"/>
      <c r="K27" s="21"/>
      <c r="L27" s="21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2:23">
      <c r="B28" s="2"/>
      <c r="F28" s="2"/>
      <c r="G28" s="2"/>
      <c r="H28" s="82"/>
      <c r="I28" s="21"/>
      <c r="J28" s="21"/>
      <c r="K28" s="21"/>
      <c r="L28" s="21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2:23">
      <c r="B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2:23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2:23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2:23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</sheetData>
  <mergeCells count="1">
    <mergeCell ref="I6:K6"/>
  </mergeCells>
  <phoneticPr fontId="2" type="noConversion"/>
  <hyperlinks>
    <hyperlink ref="A1" location="목차!A1" display="HOME" xr:uid="{2077CCBB-247E-47EF-8A38-14CC8C021B7B}"/>
  </hyperlink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3C25A-88E2-421F-9014-DA78BE727ED1}">
  <dimension ref="A1"/>
  <sheetViews>
    <sheetView workbookViewId="0">
      <selection activeCell="P16" sqref="P16"/>
    </sheetView>
  </sheetViews>
  <sheetFormatPr defaultRowHeight="17.399999999999999"/>
  <cols>
    <col min="1" max="1" width="6.69921875" customWidth="1"/>
  </cols>
  <sheetData>
    <row r="1" spans="1:1" ht="18" thickBot="1">
      <c r="A1" s="19" t="s">
        <v>64</v>
      </c>
    </row>
  </sheetData>
  <phoneticPr fontId="2" type="noConversion"/>
  <hyperlinks>
    <hyperlink ref="A1" location="목차!A1" display="HOME" xr:uid="{F82BB369-E9F8-4193-83C5-DA8245A1C027}"/>
  </hyperlink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D1153-AF96-4F5F-8E4E-70AA5BD64F48}">
  <dimension ref="A1:N27"/>
  <sheetViews>
    <sheetView topLeftCell="A13" zoomScale="115" zoomScaleNormal="115" workbookViewId="0">
      <selection activeCell="P32" sqref="P32"/>
    </sheetView>
  </sheetViews>
  <sheetFormatPr defaultRowHeight="17.399999999999999"/>
  <cols>
    <col min="1" max="1" width="6.69921875" customWidth="1"/>
    <col min="11" max="14" width="5.796875" customWidth="1"/>
  </cols>
  <sheetData>
    <row r="1" spans="1:1" ht="18" thickBot="1">
      <c r="A1" s="19" t="s">
        <v>64</v>
      </c>
    </row>
    <row r="19" spans="3:14">
      <c r="I19" s="2"/>
      <c r="J19" s="2"/>
      <c r="K19" s="2"/>
      <c r="L19" s="2"/>
    </row>
    <row r="20" spans="3:14">
      <c r="C20">
        <v>3</v>
      </c>
      <c r="D20">
        <v>4</v>
      </c>
      <c r="E20">
        <v>5</v>
      </c>
      <c r="I20" s="2"/>
      <c r="J20" s="2"/>
      <c r="K20" s="2"/>
      <c r="L20" s="2"/>
    </row>
    <row r="21" spans="3:14">
      <c r="G21" s="2" t="s">
        <v>266</v>
      </c>
      <c r="H21" s="2" t="s">
        <v>267</v>
      </c>
      <c r="I21" s="2"/>
      <c r="J21" s="2" t="s">
        <v>268</v>
      </c>
      <c r="K21" s="2">
        <v>1</v>
      </c>
      <c r="L21" s="2">
        <v>2</v>
      </c>
      <c r="M21" s="2">
        <v>3</v>
      </c>
      <c r="N21" s="2">
        <v>4</v>
      </c>
    </row>
    <row r="22" spans="3:14">
      <c r="C22">
        <v>1</v>
      </c>
      <c r="D22">
        <v>2</v>
      </c>
      <c r="E22">
        <v>1</v>
      </c>
      <c r="G22" s="2">
        <v>1</v>
      </c>
      <c r="H22" s="2"/>
      <c r="I22" s="2"/>
      <c r="J22" s="2">
        <v>1</v>
      </c>
      <c r="K22" s="21">
        <v>0</v>
      </c>
      <c r="L22" s="21">
        <v>0</v>
      </c>
      <c r="M22" s="63">
        <v>0</v>
      </c>
      <c r="N22" s="63">
        <v>0</v>
      </c>
    </row>
    <row r="23" spans="3:14">
      <c r="C23">
        <v>1</v>
      </c>
      <c r="D23">
        <v>3</v>
      </c>
      <c r="E23">
        <v>5</v>
      </c>
      <c r="G23" s="2">
        <v>2</v>
      </c>
      <c r="H23" s="2">
        <v>1</v>
      </c>
      <c r="I23" s="2"/>
      <c r="J23" s="2">
        <v>2</v>
      </c>
      <c r="K23" s="21">
        <v>1</v>
      </c>
      <c r="L23" s="21">
        <v>0</v>
      </c>
      <c r="M23" s="63">
        <v>7</v>
      </c>
      <c r="N23" s="63">
        <v>3</v>
      </c>
    </row>
    <row r="24" spans="3:14">
      <c r="C24">
        <v>2</v>
      </c>
      <c r="D24">
        <v>3</v>
      </c>
      <c r="E24">
        <v>7</v>
      </c>
      <c r="G24" s="2">
        <v>3</v>
      </c>
      <c r="H24" s="2">
        <v>1</v>
      </c>
      <c r="I24" s="2"/>
      <c r="J24" s="2">
        <v>3</v>
      </c>
      <c r="K24" s="21">
        <v>5</v>
      </c>
      <c r="L24" s="21">
        <v>7</v>
      </c>
      <c r="M24" s="63">
        <v>0</v>
      </c>
      <c r="N24" s="63">
        <v>5</v>
      </c>
    </row>
    <row r="25" spans="3:14">
      <c r="C25">
        <v>2</v>
      </c>
      <c r="D25">
        <v>4</v>
      </c>
      <c r="E25">
        <v>3</v>
      </c>
      <c r="G25" s="2">
        <v>4</v>
      </c>
      <c r="H25" s="2">
        <v>1</v>
      </c>
      <c r="I25" s="2"/>
      <c r="J25" s="2">
        <v>4</v>
      </c>
      <c r="K25" s="21">
        <v>4</v>
      </c>
      <c r="L25" s="21">
        <v>3</v>
      </c>
      <c r="M25" s="63">
        <v>5</v>
      </c>
      <c r="N25" s="63">
        <v>0</v>
      </c>
    </row>
    <row r="26" spans="3:14">
      <c r="C26">
        <v>3</v>
      </c>
      <c r="D26">
        <v>4</v>
      </c>
      <c r="E26">
        <v>5</v>
      </c>
      <c r="G26" s="2"/>
      <c r="H26" s="2"/>
      <c r="I26" s="2"/>
      <c r="J26" s="2"/>
      <c r="K26" s="2">
        <v>10</v>
      </c>
      <c r="L26" s="2">
        <v>10</v>
      </c>
      <c r="M26" s="23">
        <v>12</v>
      </c>
      <c r="N26" s="23">
        <v>8</v>
      </c>
    </row>
    <row r="27" spans="3:14">
      <c r="C27">
        <v>2</v>
      </c>
      <c r="D27">
        <v>3</v>
      </c>
      <c r="E27">
        <v>4</v>
      </c>
      <c r="I27" s="2"/>
      <c r="J27" s="2"/>
      <c r="K27" s="2"/>
      <c r="L27" s="2"/>
    </row>
  </sheetData>
  <phoneticPr fontId="2" type="noConversion"/>
  <hyperlinks>
    <hyperlink ref="A1" location="목차!A1" display="HOME" xr:uid="{CCFB9670-C988-4FD8-80BC-082A60778020}"/>
  </hyperlink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07EAE-0B59-424C-84B9-B34D513B721B}">
  <dimension ref="A1:O18"/>
  <sheetViews>
    <sheetView topLeftCell="A8" zoomScale="130" zoomScaleNormal="130" workbookViewId="0">
      <selection activeCell="O10" sqref="O10:O18"/>
    </sheetView>
  </sheetViews>
  <sheetFormatPr defaultRowHeight="17.399999999999999"/>
  <cols>
    <col min="1" max="1" width="6.69921875" customWidth="1"/>
    <col min="14" max="15" width="8.796875" style="2"/>
  </cols>
  <sheetData>
    <row r="1" spans="1:15" ht="18" thickBot="1">
      <c r="A1" s="19" t="s">
        <v>64</v>
      </c>
    </row>
    <row r="8" spans="1:15" ht="18" thickBot="1"/>
    <row r="9" spans="1:15" ht="18" thickBot="1">
      <c r="N9" s="120" t="s">
        <v>269</v>
      </c>
      <c r="O9" s="121"/>
    </row>
    <row r="10" spans="1:15">
      <c r="N10" s="85">
        <v>1</v>
      </c>
      <c r="O10" s="2">
        <v>1</v>
      </c>
    </row>
    <row r="11" spans="1:15">
      <c r="N11" s="85">
        <v>2</v>
      </c>
      <c r="O11" s="2">
        <v>1</v>
      </c>
    </row>
    <row r="12" spans="1:15">
      <c r="N12" s="85">
        <v>3</v>
      </c>
      <c r="O12" s="2">
        <v>1</v>
      </c>
    </row>
    <row r="13" spans="1:15">
      <c r="N13" s="85">
        <v>4</v>
      </c>
      <c r="O13" s="2">
        <v>4</v>
      </c>
    </row>
    <row r="14" spans="1:15">
      <c r="N14" s="85">
        <v>5</v>
      </c>
      <c r="O14" s="2">
        <v>5</v>
      </c>
    </row>
    <row r="15" spans="1:15">
      <c r="N15" s="85">
        <v>6</v>
      </c>
      <c r="O15" s="2">
        <v>6</v>
      </c>
    </row>
    <row r="16" spans="1:15">
      <c r="N16" s="85">
        <v>7</v>
      </c>
      <c r="O16" s="2">
        <v>7</v>
      </c>
    </row>
    <row r="17" spans="14:15">
      <c r="N17" s="85">
        <v>8</v>
      </c>
      <c r="O17" s="2">
        <v>8</v>
      </c>
    </row>
    <row r="18" spans="14:15">
      <c r="N18" s="85">
        <v>9</v>
      </c>
      <c r="O18" s="2">
        <v>9</v>
      </c>
    </row>
  </sheetData>
  <mergeCells count="1">
    <mergeCell ref="N9:O9"/>
  </mergeCells>
  <phoneticPr fontId="2" type="noConversion"/>
  <hyperlinks>
    <hyperlink ref="A1" location="목차!A1" display="HOME" xr:uid="{5233B89D-2AEC-4318-B47A-1CE1397AC131}"/>
  </hyperlink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C1C0D-0F8E-4C97-863D-3A140F7EC54E}">
  <dimension ref="A1"/>
  <sheetViews>
    <sheetView workbookViewId="0">
      <selection activeCell="N24" sqref="N24"/>
    </sheetView>
  </sheetViews>
  <sheetFormatPr defaultRowHeight="17.399999999999999"/>
  <cols>
    <col min="1" max="1" width="6.69921875" customWidth="1"/>
  </cols>
  <sheetData>
    <row r="1" spans="1:1" ht="18" thickBot="1">
      <c r="A1" s="19" t="s">
        <v>64</v>
      </c>
    </row>
  </sheetData>
  <phoneticPr fontId="2" type="noConversion"/>
  <hyperlinks>
    <hyperlink ref="A1" location="목차!A1" display="HOME" xr:uid="{BB145E80-6314-4F2E-A4F8-EAAB178F246D}"/>
  </hyperlink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335F7-5A44-4EB6-9AB7-891A0C1349AE}">
  <dimension ref="A1:AD46"/>
  <sheetViews>
    <sheetView topLeftCell="A3" zoomScale="130" zoomScaleNormal="130" workbookViewId="0">
      <selection activeCell="AE12" sqref="AE12"/>
    </sheetView>
  </sheetViews>
  <sheetFormatPr defaultRowHeight="17.399999999999999"/>
  <cols>
    <col min="1" max="1" width="6.69921875" customWidth="1"/>
    <col min="2" max="2" width="4.796875" style="2" customWidth="1"/>
    <col min="3" max="15" width="3.09765625" style="2" customWidth="1"/>
    <col min="16" max="16" width="8" style="2" customWidth="1"/>
    <col min="17" max="18" width="4.69921875" style="2" customWidth="1"/>
    <col min="19" max="19" width="5.8984375" style="2" customWidth="1"/>
    <col min="20" max="20" width="8.69921875" style="2" customWidth="1"/>
    <col min="21" max="22" width="4.69921875" style="2" customWidth="1"/>
    <col min="23" max="26" width="4.69921875" customWidth="1"/>
    <col min="27" max="27" width="7.8984375" bestFit="1" customWidth="1"/>
    <col min="28" max="28" width="6.5" style="2" customWidth="1"/>
    <col min="30" max="30" width="5.3984375" style="2" customWidth="1"/>
  </cols>
  <sheetData>
    <row r="1" spans="1:30" ht="18" thickBot="1">
      <c r="A1" s="19" t="s">
        <v>64</v>
      </c>
    </row>
    <row r="3" spans="1:30">
      <c r="C3" s="2">
        <v>4</v>
      </c>
      <c r="H3" s="85">
        <v>0</v>
      </c>
      <c r="I3" s="85">
        <v>1</v>
      </c>
      <c r="J3" s="85">
        <v>2</v>
      </c>
      <c r="K3" s="85">
        <v>3</v>
      </c>
      <c r="L3" s="85">
        <v>4</v>
      </c>
      <c r="M3" s="85">
        <v>5</v>
      </c>
      <c r="N3" s="85">
        <v>6</v>
      </c>
      <c r="O3" s="85">
        <v>7</v>
      </c>
    </row>
    <row r="4" spans="1:30">
      <c r="B4" s="85">
        <v>1</v>
      </c>
      <c r="C4" s="2">
        <v>1</v>
      </c>
      <c r="D4" s="2">
        <v>3</v>
      </c>
      <c r="G4" s="85">
        <v>0</v>
      </c>
      <c r="Q4" s="2" t="s">
        <v>231</v>
      </c>
      <c r="R4" s="2" t="s">
        <v>232</v>
      </c>
      <c r="S4" s="2" t="s">
        <v>238</v>
      </c>
      <c r="V4" s="2" t="s">
        <v>231</v>
      </c>
      <c r="W4" s="2" t="s">
        <v>232</v>
      </c>
      <c r="X4" s="2" t="s">
        <v>238</v>
      </c>
      <c r="AA4" s="102" t="s">
        <v>239</v>
      </c>
      <c r="AB4" s="102"/>
      <c r="AD4" s="2" t="s">
        <v>111</v>
      </c>
    </row>
    <row r="5" spans="1:30">
      <c r="B5" s="85">
        <v>2</v>
      </c>
      <c r="C5" s="2">
        <v>5</v>
      </c>
      <c r="D5" s="2">
        <v>4</v>
      </c>
      <c r="G5" s="85">
        <v>1</v>
      </c>
      <c r="I5" s="21"/>
      <c r="J5" s="21"/>
      <c r="K5" s="21">
        <v>1</v>
      </c>
      <c r="L5" s="21"/>
      <c r="M5" s="21"/>
      <c r="N5" s="21"/>
      <c r="Q5" s="2">
        <v>1</v>
      </c>
      <c r="R5" s="2">
        <v>2</v>
      </c>
      <c r="S5" s="2">
        <f>16+1</f>
        <v>17</v>
      </c>
      <c r="V5" s="2">
        <v>3</v>
      </c>
      <c r="W5" s="2">
        <v>4</v>
      </c>
      <c r="X5" s="2">
        <f>1+1</f>
        <v>2</v>
      </c>
      <c r="AA5" s="86">
        <v>1</v>
      </c>
      <c r="AB5" s="2">
        <v>1</v>
      </c>
      <c r="AD5" s="2">
        <v>0</v>
      </c>
    </row>
    <row r="6" spans="1:30">
      <c r="B6" s="85">
        <v>3</v>
      </c>
      <c r="C6" s="2">
        <v>7</v>
      </c>
      <c r="D6" s="2">
        <v>2</v>
      </c>
      <c r="G6" s="85">
        <v>2</v>
      </c>
      <c r="I6" s="21"/>
      <c r="J6" s="21"/>
      <c r="K6" s="21"/>
      <c r="L6" s="21"/>
      <c r="M6" s="21"/>
      <c r="N6" s="21"/>
      <c r="Q6" s="2">
        <v>1</v>
      </c>
      <c r="R6" s="2">
        <v>3</v>
      </c>
      <c r="S6" s="2">
        <f>36+2</f>
        <v>38</v>
      </c>
      <c r="V6" s="2">
        <v>2</v>
      </c>
      <c r="W6" s="2">
        <v>3</v>
      </c>
      <c r="X6" s="2">
        <f>4+4</f>
        <v>8</v>
      </c>
      <c r="AA6" s="86">
        <v>2</v>
      </c>
      <c r="AB6" s="2">
        <v>2</v>
      </c>
    </row>
    <row r="7" spans="1:30">
      <c r="B7" s="85">
        <v>4</v>
      </c>
      <c r="C7" s="2">
        <v>6</v>
      </c>
      <c r="D7" s="2">
        <v>1</v>
      </c>
      <c r="G7" s="85">
        <v>3</v>
      </c>
      <c r="I7" s="21"/>
      <c r="J7" s="21"/>
      <c r="K7" s="21"/>
      <c r="L7" s="21"/>
      <c r="M7" s="21"/>
      <c r="N7" s="21"/>
      <c r="Q7" s="2">
        <v>1</v>
      </c>
      <c r="R7" s="2">
        <v>4</v>
      </c>
      <c r="S7" s="2">
        <f>25+4</f>
        <v>29</v>
      </c>
      <c r="V7" s="2">
        <v>2</v>
      </c>
      <c r="W7" s="2">
        <v>4</v>
      </c>
      <c r="X7" s="2">
        <f>1+9</f>
        <v>10</v>
      </c>
      <c r="AA7" s="86">
        <v>3</v>
      </c>
      <c r="AB7" s="2">
        <v>3</v>
      </c>
    </row>
    <row r="8" spans="1:30">
      <c r="G8" s="85">
        <v>4</v>
      </c>
      <c r="I8" s="21"/>
      <c r="J8" s="21"/>
      <c r="K8" s="21"/>
      <c r="L8" s="21"/>
      <c r="M8" s="21"/>
      <c r="N8" s="21"/>
      <c r="Q8" s="2">
        <v>2</v>
      </c>
      <c r="R8" s="2">
        <v>3</v>
      </c>
      <c r="S8" s="2">
        <f>4+4</f>
        <v>8</v>
      </c>
      <c r="V8" s="2">
        <v>1</v>
      </c>
      <c r="W8" s="2">
        <v>2</v>
      </c>
      <c r="X8" s="2">
        <f>16+1</f>
        <v>17</v>
      </c>
      <c r="AA8" s="86">
        <v>4</v>
      </c>
      <c r="AB8" s="2">
        <v>4</v>
      </c>
    </row>
    <row r="9" spans="1:30">
      <c r="G9" s="85">
        <v>5</v>
      </c>
      <c r="I9" s="21"/>
      <c r="J9" s="21"/>
      <c r="K9" s="21"/>
      <c r="L9" s="21">
        <v>2</v>
      </c>
      <c r="M9" s="21"/>
      <c r="N9" s="21"/>
      <c r="Q9" s="2">
        <v>2</v>
      </c>
      <c r="R9" s="2">
        <v>4</v>
      </c>
      <c r="S9" s="2">
        <f>1+9</f>
        <v>10</v>
      </c>
      <c r="V9" s="2">
        <v>1</v>
      </c>
      <c r="W9" s="2">
        <v>4</v>
      </c>
      <c r="X9" s="2">
        <f>25+4</f>
        <v>29</v>
      </c>
      <c r="AA9" s="86"/>
    </row>
    <row r="10" spans="1:30">
      <c r="G10" s="85">
        <v>6</v>
      </c>
      <c r="I10" s="21">
        <v>4</v>
      </c>
      <c r="J10" s="21"/>
      <c r="K10" s="21"/>
      <c r="L10" s="21"/>
      <c r="M10" s="21"/>
      <c r="N10" s="21"/>
      <c r="Q10" s="2">
        <v>3</v>
      </c>
      <c r="R10" s="2">
        <v>4</v>
      </c>
      <c r="S10" s="2">
        <f>1+1</f>
        <v>2</v>
      </c>
      <c r="V10" s="2">
        <v>1</v>
      </c>
      <c r="W10" s="2">
        <v>3</v>
      </c>
      <c r="X10" s="2">
        <f>36+2</f>
        <v>38</v>
      </c>
    </row>
    <row r="11" spans="1:30">
      <c r="G11" s="85">
        <v>7</v>
      </c>
      <c r="I11" s="21"/>
      <c r="J11" s="21">
        <v>3</v>
      </c>
      <c r="K11" s="21"/>
      <c r="L11" s="21"/>
      <c r="M11" s="21"/>
      <c r="N11" s="21"/>
    </row>
    <row r="12" spans="1:30">
      <c r="G12" s="85">
        <v>8</v>
      </c>
    </row>
    <row r="13" spans="1:30">
      <c r="V13" s="2" t="s">
        <v>231</v>
      </c>
      <c r="W13" s="2" t="s">
        <v>232</v>
      </c>
      <c r="X13" s="2" t="s">
        <v>238</v>
      </c>
      <c r="AA13" s="102" t="s">
        <v>239</v>
      </c>
      <c r="AB13" s="102"/>
      <c r="AD13" s="2" t="s">
        <v>111</v>
      </c>
    </row>
    <row r="14" spans="1:30">
      <c r="V14" s="32">
        <v>3</v>
      </c>
      <c r="W14" s="32">
        <v>4</v>
      </c>
      <c r="X14" s="32">
        <f>1+1</f>
        <v>2</v>
      </c>
      <c r="AA14" s="86">
        <v>1</v>
      </c>
      <c r="AB14" s="2">
        <v>1</v>
      </c>
      <c r="AD14" s="2">
        <v>2</v>
      </c>
    </row>
    <row r="15" spans="1:30">
      <c r="V15" s="2">
        <v>2</v>
      </c>
      <c r="W15" s="2">
        <v>3</v>
      </c>
      <c r="X15" s="2">
        <f>4+4</f>
        <v>8</v>
      </c>
      <c r="AA15" s="86">
        <v>2</v>
      </c>
      <c r="AB15" s="2">
        <v>2</v>
      </c>
    </row>
    <row r="16" spans="1:30">
      <c r="V16" s="2">
        <v>2</v>
      </c>
      <c r="W16" s="2">
        <v>4</v>
      </c>
      <c r="X16" s="2">
        <f>1+9</f>
        <v>10</v>
      </c>
      <c r="AA16" s="86">
        <v>3</v>
      </c>
      <c r="AB16" s="26">
        <v>3</v>
      </c>
    </row>
    <row r="17" spans="22:30">
      <c r="V17" s="2">
        <v>1</v>
      </c>
      <c r="W17" s="2">
        <v>2</v>
      </c>
      <c r="X17" s="2">
        <f>16+1</f>
        <v>17</v>
      </c>
      <c r="AA17" s="86">
        <v>4</v>
      </c>
      <c r="AB17" s="26">
        <v>3</v>
      </c>
    </row>
    <row r="18" spans="22:30">
      <c r="V18" s="2">
        <v>1</v>
      </c>
      <c r="W18" s="2">
        <v>4</v>
      </c>
      <c r="X18" s="2">
        <f>25+4</f>
        <v>29</v>
      </c>
      <c r="AA18" s="86"/>
    </row>
    <row r="19" spans="22:30">
      <c r="V19" s="2">
        <v>1</v>
      </c>
      <c r="W19" s="2">
        <v>3</v>
      </c>
      <c r="X19" s="2">
        <f>36+2</f>
        <v>38</v>
      </c>
    </row>
    <row r="22" spans="22:30">
      <c r="V22" s="2" t="s">
        <v>231</v>
      </c>
      <c r="W22" s="2" t="s">
        <v>232</v>
      </c>
      <c r="X22" s="2" t="s">
        <v>238</v>
      </c>
      <c r="AA22" s="102" t="s">
        <v>239</v>
      </c>
      <c r="AB22" s="102"/>
      <c r="AD22" s="2" t="s">
        <v>111</v>
      </c>
    </row>
    <row r="23" spans="22:30">
      <c r="V23" s="2">
        <v>3</v>
      </c>
      <c r="W23" s="2">
        <v>4</v>
      </c>
      <c r="X23" s="2">
        <f>1+1</f>
        <v>2</v>
      </c>
      <c r="AA23" s="86">
        <v>1</v>
      </c>
      <c r="AB23" s="2">
        <v>1</v>
      </c>
      <c r="AD23" s="2">
        <v>8</v>
      </c>
    </row>
    <row r="24" spans="22:30">
      <c r="V24" s="32">
        <v>2</v>
      </c>
      <c r="W24" s="32">
        <v>3</v>
      </c>
      <c r="X24" s="32">
        <f>4+4</f>
        <v>8</v>
      </c>
      <c r="AA24" s="86">
        <v>2</v>
      </c>
      <c r="AB24" s="26">
        <v>2</v>
      </c>
    </row>
    <row r="25" spans="22:30">
      <c r="V25" s="2">
        <v>2</v>
      </c>
      <c r="W25" s="2">
        <v>4</v>
      </c>
      <c r="X25" s="2">
        <f>1+9</f>
        <v>10</v>
      </c>
      <c r="AA25" s="86">
        <v>3</v>
      </c>
      <c r="AB25" s="26">
        <v>2</v>
      </c>
    </row>
    <row r="26" spans="22:30">
      <c r="V26" s="2">
        <v>1</v>
      </c>
      <c r="W26" s="2">
        <v>2</v>
      </c>
      <c r="X26" s="2">
        <f>16+1</f>
        <v>17</v>
      </c>
      <c r="AA26" s="86">
        <v>4</v>
      </c>
      <c r="AB26" s="26">
        <v>2</v>
      </c>
    </row>
    <row r="27" spans="22:30">
      <c r="V27" s="2">
        <v>1</v>
      </c>
      <c r="W27" s="2">
        <v>4</v>
      </c>
      <c r="X27" s="2">
        <f>25+4</f>
        <v>29</v>
      </c>
      <c r="AA27" s="86"/>
    </row>
    <row r="28" spans="22:30">
      <c r="V28" s="2">
        <v>1</v>
      </c>
      <c r="W28" s="2">
        <v>3</v>
      </c>
      <c r="X28" s="2">
        <f>36+2</f>
        <v>38</v>
      </c>
    </row>
    <row r="31" spans="22:30">
      <c r="V31" s="2" t="s">
        <v>231</v>
      </c>
      <c r="W31" s="2" t="s">
        <v>232</v>
      </c>
      <c r="X31" s="2" t="s">
        <v>238</v>
      </c>
      <c r="AA31" s="102" t="s">
        <v>239</v>
      </c>
      <c r="AB31" s="102"/>
      <c r="AD31" s="2" t="s">
        <v>111</v>
      </c>
    </row>
    <row r="32" spans="22:30">
      <c r="V32" s="2">
        <v>3</v>
      </c>
      <c r="W32" s="2">
        <v>4</v>
      </c>
      <c r="X32" s="2">
        <f>1+1</f>
        <v>2</v>
      </c>
      <c r="AA32" s="86">
        <v>1</v>
      </c>
      <c r="AB32" s="2">
        <v>1</v>
      </c>
      <c r="AD32" s="2">
        <v>8</v>
      </c>
    </row>
    <row r="33" spans="22:30">
      <c r="V33" s="2">
        <v>2</v>
      </c>
      <c r="W33" s="2">
        <v>3</v>
      </c>
      <c r="X33" s="2">
        <f>4+4</f>
        <v>8</v>
      </c>
      <c r="AA33" s="86">
        <v>2</v>
      </c>
      <c r="AB33" s="26">
        <v>2</v>
      </c>
    </row>
    <row r="34" spans="22:30">
      <c r="V34" s="87">
        <v>2</v>
      </c>
      <c r="W34" s="87">
        <v>4</v>
      </c>
      <c r="X34" s="87">
        <f>1+9</f>
        <v>10</v>
      </c>
      <c r="AA34" s="86">
        <v>3</v>
      </c>
      <c r="AB34" s="26">
        <v>2</v>
      </c>
    </row>
    <row r="35" spans="22:30">
      <c r="V35" s="2">
        <v>1</v>
      </c>
      <c r="W35" s="2">
        <v>2</v>
      </c>
      <c r="X35" s="2">
        <f>16+1</f>
        <v>17</v>
      </c>
      <c r="AA35" s="86">
        <v>4</v>
      </c>
      <c r="AB35" s="26">
        <v>2</v>
      </c>
    </row>
    <row r="36" spans="22:30">
      <c r="V36" s="2">
        <v>1</v>
      </c>
      <c r="W36" s="2">
        <v>4</v>
      </c>
      <c r="X36" s="2">
        <f>25+4</f>
        <v>29</v>
      </c>
      <c r="AA36" s="86"/>
    </row>
    <row r="37" spans="22:30">
      <c r="V37" s="2">
        <v>1</v>
      </c>
      <c r="W37" s="2">
        <v>3</v>
      </c>
      <c r="X37" s="2">
        <f>36+2</f>
        <v>38</v>
      </c>
    </row>
    <row r="40" spans="22:30">
      <c r="V40" s="2" t="s">
        <v>231</v>
      </c>
      <c r="W40" s="2" t="s">
        <v>232</v>
      </c>
      <c r="X40" s="2" t="s">
        <v>238</v>
      </c>
      <c r="AA40" s="102" t="s">
        <v>239</v>
      </c>
      <c r="AB40" s="102"/>
      <c r="AD40" s="2" t="s">
        <v>111</v>
      </c>
    </row>
    <row r="41" spans="22:30">
      <c r="V41" s="2">
        <v>3</v>
      </c>
      <c r="W41" s="2">
        <v>4</v>
      </c>
      <c r="X41" s="2">
        <f>1+1</f>
        <v>2</v>
      </c>
      <c r="AA41" s="86">
        <v>1</v>
      </c>
      <c r="AB41" s="26">
        <v>2</v>
      </c>
      <c r="AD41" s="2">
        <v>17</v>
      </c>
    </row>
    <row r="42" spans="22:30">
      <c r="V42" s="2">
        <v>2</v>
      </c>
      <c r="W42" s="2">
        <v>3</v>
      </c>
      <c r="X42" s="2">
        <f>4+4</f>
        <v>8</v>
      </c>
      <c r="AA42" s="86">
        <v>2</v>
      </c>
      <c r="AB42" s="26">
        <v>2</v>
      </c>
    </row>
    <row r="43" spans="22:30">
      <c r="V43" s="87">
        <v>2</v>
      </c>
      <c r="W43" s="87">
        <v>4</v>
      </c>
      <c r="X43" s="87">
        <f>1+9</f>
        <v>10</v>
      </c>
      <c r="AA43" s="86">
        <v>3</v>
      </c>
      <c r="AB43" s="26">
        <v>2</v>
      </c>
    </row>
    <row r="44" spans="22:30">
      <c r="V44" s="32">
        <v>1</v>
      </c>
      <c r="W44" s="32">
        <v>2</v>
      </c>
      <c r="X44" s="32">
        <f>16+1</f>
        <v>17</v>
      </c>
      <c r="AA44" s="86">
        <v>4</v>
      </c>
      <c r="AB44" s="26">
        <v>2</v>
      </c>
    </row>
    <row r="45" spans="22:30">
      <c r="V45" s="2">
        <v>1</v>
      </c>
      <c r="W45" s="2">
        <v>4</v>
      </c>
      <c r="X45" s="2">
        <f>25+4</f>
        <v>29</v>
      </c>
      <c r="AA45" s="86"/>
    </row>
    <row r="46" spans="22:30">
      <c r="V46" s="2">
        <v>1</v>
      </c>
      <c r="W46" s="2">
        <v>3</v>
      </c>
      <c r="X46" s="2">
        <f>36+2</f>
        <v>38</v>
      </c>
    </row>
  </sheetData>
  <mergeCells count="5">
    <mergeCell ref="AA4:AB4"/>
    <mergeCell ref="AA13:AB13"/>
    <mergeCell ref="AA22:AB22"/>
    <mergeCell ref="AA31:AB31"/>
    <mergeCell ref="AA40:AB40"/>
  </mergeCells>
  <phoneticPr fontId="2" type="noConversion"/>
  <hyperlinks>
    <hyperlink ref="A1" location="목차!A1" display="HOME" xr:uid="{4377FAD8-FD06-44F3-8092-570D1CAEFBE3}"/>
  </hyperlink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10E3A-E8C9-485A-9779-14D06EC58EB8}">
  <dimension ref="A1:AI36"/>
  <sheetViews>
    <sheetView zoomScaleNormal="100" workbookViewId="0">
      <selection activeCell="AL21" sqref="AL21"/>
    </sheetView>
  </sheetViews>
  <sheetFormatPr defaultRowHeight="17.399999999999999"/>
  <cols>
    <col min="1" max="1" width="6.69921875" customWidth="1"/>
    <col min="2" max="2" width="4.796875" customWidth="1"/>
  </cols>
  <sheetData>
    <row r="1" spans="1:3" ht="18" thickBot="1">
      <c r="A1" s="19" t="s">
        <v>64</v>
      </c>
    </row>
    <row r="3" spans="1:3">
      <c r="C3" s="88" t="s">
        <v>240</v>
      </c>
    </row>
    <row r="4" spans="1:3">
      <c r="B4" s="86">
        <v>2</v>
      </c>
      <c r="C4" s="89" t="s">
        <v>94</v>
      </c>
    </row>
    <row r="5" spans="1:3">
      <c r="B5" s="86">
        <v>3</v>
      </c>
      <c r="C5" s="89" t="s">
        <v>241</v>
      </c>
    </row>
    <row r="6" spans="1:3">
      <c r="B6" s="86">
        <v>4</v>
      </c>
      <c r="C6" s="89" t="s">
        <v>242</v>
      </c>
    </row>
    <row r="7" spans="1:3">
      <c r="B7" s="86">
        <v>5</v>
      </c>
      <c r="C7" s="89" t="s">
        <v>243</v>
      </c>
    </row>
    <row r="8" spans="1:3">
      <c r="B8" s="86">
        <v>6</v>
      </c>
      <c r="C8" s="89" t="s">
        <v>244</v>
      </c>
    </row>
    <row r="9" spans="1:3">
      <c r="B9" s="86">
        <v>7</v>
      </c>
      <c r="C9" s="89" t="s">
        <v>242</v>
      </c>
    </row>
    <row r="10" spans="1:3">
      <c r="B10" s="86">
        <v>8</v>
      </c>
      <c r="C10" s="89" t="s">
        <v>244</v>
      </c>
    </row>
    <row r="11" spans="1:3">
      <c r="B11" s="86">
        <v>9</v>
      </c>
      <c r="C11" s="89" t="s">
        <v>242</v>
      </c>
    </row>
    <row r="12" spans="1:3">
      <c r="B12" s="86">
        <v>10</v>
      </c>
      <c r="C12" s="89" t="s">
        <v>245</v>
      </c>
    </row>
    <row r="13" spans="1:3">
      <c r="B13" s="86">
        <v>11</v>
      </c>
      <c r="C13" s="89" t="s">
        <v>94</v>
      </c>
    </row>
    <row r="14" spans="1:3">
      <c r="C14" s="88" t="s">
        <v>246</v>
      </c>
    </row>
    <row r="15" spans="1:3">
      <c r="C15" s="88" t="s">
        <v>247</v>
      </c>
    </row>
    <row r="16" spans="1:3">
      <c r="C16" s="88" t="s">
        <v>248</v>
      </c>
    </row>
    <row r="17" spans="3:35">
      <c r="C17" s="88" t="s">
        <v>249</v>
      </c>
    </row>
    <row r="18" spans="3:35">
      <c r="C18" s="88" t="s">
        <v>250</v>
      </c>
    </row>
    <row r="19" spans="3:35">
      <c r="C19" s="88" t="s">
        <v>251</v>
      </c>
      <c r="AH19" s="122" t="s">
        <v>269</v>
      </c>
      <c r="AI19" s="122"/>
    </row>
    <row r="20" spans="3:35">
      <c r="C20" s="88" t="s">
        <v>252</v>
      </c>
      <c r="AE20" s="85">
        <v>1</v>
      </c>
      <c r="AF20" s="26">
        <v>1</v>
      </c>
      <c r="AH20" s="85">
        <v>1</v>
      </c>
      <c r="AI20" s="26">
        <v>1</v>
      </c>
    </row>
    <row r="21" spans="3:35">
      <c r="C21" s="88" t="s">
        <v>253</v>
      </c>
      <c r="AE21" s="85">
        <v>2</v>
      </c>
      <c r="AF21" s="26">
        <v>2</v>
      </c>
      <c r="AH21" s="85">
        <v>2</v>
      </c>
      <c r="AI21" s="26">
        <v>2</v>
      </c>
    </row>
    <row r="22" spans="3:35">
      <c r="C22" s="88" t="s">
        <v>254</v>
      </c>
      <c r="AE22" s="85">
        <v>3</v>
      </c>
      <c r="AF22" s="26">
        <v>3</v>
      </c>
      <c r="AH22" s="85">
        <v>3</v>
      </c>
      <c r="AI22" s="26">
        <v>3</v>
      </c>
    </row>
    <row r="23" spans="3:35">
      <c r="C23" s="88" t="s">
        <v>255</v>
      </c>
      <c r="Y23" s="85">
        <v>1</v>
      </c>
      <c r="Z23" s="26">
        <v>1</v>
      </c>
      <c r="AE23" s="85">
        <v>4</v>
      </c>
      <c r="AF23" s="26">
        <v>1</v>
      </c>
      <c r="AH23" s="85">
        <v>4</v>
      </c>
      <c r="AI23" s="26">
        <v>4</v>
      </c>
    </row>
    <row r="24" spans="3:35">
      <c r="C24" s="88" t="s">
        <v>256</v>
      </c>
      <c r="Y24" s="85">
        <v>2</v>
      </c>
      <c r="Z24" s="26">
        <v>7</v>
      </c>
      <c r="AE24" s="85">
        <v>5</v>
      </c>
      <c r="AF24" s="26">
        <v>5</v>
      </c>
      <c r="AH24" s="85">
        <v>5</v>
      </c>
      <c r="AI24" s="26">
        <v>5</v>
      </c>
    </row>
    <row r="25" spans="3:35">
      <c r="C25" s="88" t="s">
        <v>257</v>
      </c>
      <c r="Y25" s="85">
        <v>3</v>
      </c>
      <c r="Z25" s="26">
        <v>1</v>
      </c>
      <c r="AE25" s="85">
        <v>6</v>
      </c>
      <c r="AF25" s="26">
        <v>6</v>
      </c>
      <c r="AH25" s="85">
        <v>6</v>
      </c>
      <c r="AI25" s="26">
        <v>6</v>
      </c>
    </row>
    <row r="26" spans="3:35">
      <c r="C26" s="88" t="s">
        <v>258</v>
      </c>
      <c r="Y26" s="85">
        <v>4</v>
      </c>
      <c r="Z26" s="26">
        <v>1</v>
      </c>
      <c r="AB26" s="85">
        <v>1</v>
      </c>
      <c r="AC26" s="26">
        <v>1</v>
      </c>
      <c r="AE26" s="85">
        <v>7</v>
      </c>
      <c r="AF26" s="26">
        <v>7</v>
      </c>
      <c r="AH26" s="85">
        <v>7</v>
      </c>
      <c r="AI26" s="26">
        <v>7</v>
      </c>
    </row>
    <row r="27" spans="3:35">
      <c r="C27" s="88" t="s">
        <v>259</v>
      </c>
      <c r="Y27" s="85">
        <v>5</v>
      </c>
      <c r="Z27" s="26">
        <v>5</v>
      </c>
      <c r="AB27" s="85">
        <v>2</v>
      </c>
      <c r="AC27" s="26">
        <v>2</v>
      </c>
      <c r="AE27" s="85">
        <v>8</v>
      </c>
      <c r="AF27" s="26">
        <v>8</v>
      </c>
      <c r="AH27" s="85">
        <v>8</v>
      </c>
      <c r="AI27" s="26">
        <v>8</v>
      </c>
    </row>
    <row r="28" spans="3:35">
      <c r="C28" s="88" t="s">
        <v>260</v>
      </c>
      <c r="Y28" s="85">
        <v>6</v>
      </c>
      <c r="Z28" s="26">
        <v>6</v>
      </c>
      <c r="AB28" s="85">
        <v>3</v>
      </c>
      <c r="AC28" s="26">
        <v>1</v>
      </c>
      <c r="AE28" s="85">
        <v>9</v>
      </c>
      <c r="AF28" s="26">
        <v>9</v>
      </c>
      <c r="AH28" s="85">
        <v>9</v>
      </c>
      <c r="AI28" s="26">
        <v>9</v>
      </c>
    </row>
    <row r="29" spans="3:35">
      <c r="Y29" s="85">
        <v>7</v>
      </c>
      <c r="Z29" s="26">
        <v>7</v>
      </c>
      <c r="AB29" s="85">
        <v>4</v>
      </c>
      <c r="AC29" s="26">
        <v>1</v>
      </c>
      <c r="AE29" s="85">
        <v>10</v>
      </c>
      <c r="AF29" s="26">
        <v>10</v>
      </c>
      <c r="AH29" s="85">
        <v>10</v>
      </c>
      <c r="AI29" s="26">
        <v>10</v>
      </c>
    </row>
    <row r="30" spans="3:35">
      <c r="Y30" s="85">
        <v>8</v>
      </c>
      <c r="Z30" s="26">
        <v>8</v>
      </c>
      <c r="AB30" s="85">
        <v>5</v>
      </c>
      <c r="AC30" s="26">
        <v>5</v>
      </c>
      <c r="AE30" s="85">
        <v>11</v>
      </c>
      <c r="AF30" s="26">
        <v>11</v>
      </c>
      <c r="AH30" s="85">
        <v>11</v>
      </c>
      <c r="AI30" s="26">
        <v>11</v>
      </c>
    </row>
    <row r="31" spans="3:35">
      <c r="Y31" s="85">
        <v>9</v>
      </c>
      <c r="Z31" s="26">
        <v>9</v>
      </c>
      <c r="AB31" s="85">
        <v>6</v>
      </c>
      <c r="AC31" s="26">
        <v>6</v>
      </c>
    </row>
    <row r="32" spans="3:35">
      <c r="Y32" s="85">
        <v>10</v>
      </c>
      <c r="Z32" s="26">
        <v>10</v>
      </c>
      <c r="AB32" s="85">
        <v>7</v>
      </c>
      <c r="AC32" s="26">
        <v>7</v>
      </c>
    </row>
    <row r="33" spans="25:29">
      <c r="Y33" s="85">
        <v>11</v>
      </c>
      <c r="Z33" s="26">
        <v>11</v>
      </c>
      <c r="AB33" s="85">
        <v>8</v>
      </c>
      <c r="AC33" s="26">
        <v>8</v>
      </c>
    </row>
    <row r="34" spans="25:29">
      <c r="AB34" s="85">
        <v>9</v>
      </c>
      <c r="AC34" s="26">
        <v>9</v>
      </c>
    </row>
    <row r="35" spans="25:29">
      <c r="AB35" s="85">
        <v>10</v>
      </c>
      <c r="AC35" s="26">
        <v>10</v>
      </c>
    </row>
    <row r="36" spans="25:29">
      <c r="AB36" s="85">
        <v>11</v>
      </c>
      <c r="AC36" s="26">
        <v>11</v>
      </c>
    </row>
  </sheetData>
  <mergeCells count="1">
    <mergeCell ref="AH19:AI19"/>
  </mergeCells>
  <phoneticPr fontId="2" type="noConversion"/>
  <hyperlinks>
    <hyperlink ref="A1" location="목차!A1" display="HOME" xr:uid="{6A06FD20-302C-414F-BC47-57A8542988DE}"/>
  </hyperlink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C71C5-92C9-4219-A580-4659EF2D2D5A}">
  <dimension ref="A1:U58"/>
  <sheetViews>
    <sheetView topLeftCell="A2" zoomScale="145" zoomScaleNormal="145" workbookViewId="0">
      <selection activeCell="K21" sqref="K21"/>
    </sheetView>
  </sheetViews>
  <sheetFormatPr defaultRowHeight="17.399999999999999"/>
  <cols>
    <col min="1" max="1" width="6.69921875" style="23" customWidth="1"/>
    <col min="2" max="4" width="7.3984375" style="23" customWidth="1"/>
    <col min="5" max="5" width="16.09765625" style="23" customWidth="1"/>
    <col min="6" max="8" width="6.69921875" style="23" customWidth="1"/>
    <col min="9" max="11" width="5.3984375" style="23" customWidth="1"/>
    <col min="12" max="14" width="6.69921875" style="23" customWidth="1"/>
    <col min="15" max="15" width="8.796875" style="23"/>
    <col min="16" max="17" width="6" style="23" customWidth="1"/>
    <col min="18" max="18" width="4.69921875" style="23" customWidth="1"/>
    <col min="19" max="19" width="8.796875" style="23"/>
    <col min="20" max="20" width="2.8984375" style="23" customWidth="1"/>
    <col min="21" max="16384" width="8.796875" style="23"/>
  </cols>
  <sheetData>
    <row r="1" spans="1:21" ht="18" thickBot="1">
      <c r="A1" s="19" t="s">
        <v>64</v>
      </c>
    </row>
    <row r="2" spans="1:21">
      <c r="I2" s="2"/>
      <c r="J2" s="90">
        <v>6</v>
      </c>
      <c r="K2" s="2">
        <v>7</v>
      </c>
      <c r="L2" s="2" t="s">
        <v>261</v>
      </c>
      <c r="M2" s="2" t="s">
        <v>262</v>
      </c>
      <c r="N2" s="2" t="s">
        <v>263</v>
      </c>
      <c r="O2" s="2" t="s">
        <v>113</v>
      </c>
      <c r="P2" s="2" t="s">
        <v>111</v>
      </c>
      <c r="Q2" s="2"/>
      <c r="R2" s="102" t="s">
        <v>239</v>
      </c>
      <c r="S2" s="102"/>
      <c r="T2" s="2"/>
      <c r="U2" s="2" t="s">
        <v>264</v>
      </c>
    </row>
    <row r="3" spans="1:21">
      <c r="K3" s="2"/>
      <c r="L3" s="90">
        <v>6</v>
      </c>
      <c r="M3" s="2">
        <v>3</v>
      </c>
      <c r="N3" s="2">
        <v>15</v>
      </c>
      <c r="O3" s="23">
        <v>45</v>
      </c>
      <c r="P3" s="23">
        <v>45</v>
      </c>
      <c r="R3" s="86">
        <v>1</v>
      </c>
      <c r="S3" s="2">
        <v>1</v>
      </c>
      <c r="T3" s="2"/>
      <c r="U3" s="2">
        <v>6</v>
      </c>
    </row>
    <row r="4" spans="1:21">
      <c r="I4" s="2"/>
      <c r="J4" s="2"/>
      <c r="K4" s="2"/>
      <c r="L4" s="90">
        <v>1</v>
      </c>
      <c r="M4" s="2">
        <v>2</v>
      </c>
      <c r="N4" s="2">
        <v>10</v>
      </c>
      <c r="O4" s="23">
        <v>30</v>
      </c>
      <c r="P4" s="23">
        <v>30</v>
      </c>
      <c r="R4" s="86">
        <v>2</v>
      </c>
      <c r="S4" s="2">
        <v>1</v>
      </c>
      <c r="T4" s="2"/>
      <c r="U4" s="2"/>
    </row>
    <row r="5" spans="1:21">
      <c r="I5" s="2"/>
      <c r="J5" s="2"/>
      <c r="K5" s="2"/>
      <c r="L5" s="90">
        <v>2</v>
      </c>
      <c r="M5" s="2">
        <v>6</v>
      </c>
      <c r="N5" s="2">
        <v>6</v>
      </c>
      <c r="O5" s="23">
        <v>20</v>
      </c>
      <c r="P5" s="23">
        <v>80</v>
      </c>
      <c r="R5" s="86">
        <v>3</v>
      </c>
      <c r="S5" s="2">
        <v>1</v>
      </c>
      <c r="T5" s="2"/>
      <c r="U5" s="2"/>
    </row>
    <row r="6" spans="1:21">
      <c r="I6" s="2"/>
      <c r="J6" s="2"/>
      <c r="K6" s="2"/>
      <c r="L6" s="90">
        <v>4</v>
      </c>
      <c r="M6" s="2">
        <v>3</v>
      </c>
      <c r="N6" s="2">
        <v>5</v>
      </c>
      <c r="O6" s="23">
        <v>14</v>
      </c>
      <c r="P6" s="23">
        <v>56</v>
      </c>
      <c r="R6" s="86">
        <v>4</v>
      </c>
      <c r="S6" s="2">
        <v>1</v>
      </c>
      <c r="T6" s="2"/>
      <c r="U6" s="2"/>
    </row>
    <row r="7" spans="1:21">
      <c r="I7" s="2"/>
      <c r="J7" s="2"/>
      <c r="K7" s="2"/>
      <c r="L7" s="90">
        <v>3</v>
      </c>
      <c r="M7" s="2">
        <v>5</v>
      </c>
      <c r="N7" s="2">
        <v>4</v>
      </c>
      <c r="O7" s="23">
        <v>9</v>
      </c>
      <c r="P7" s="23">
        <v>45</v>
      </c>
      <c r="R7" s="86">
        <v>5</v>
      </c>
      <c r="S7" s="2">
        <v>1</v>
      </c>
      <c r="T7" s="2"/>
      <c r="U7" s="2"/>
    </row>
    <row r="8" spans="1:21">
      <c r="I8" s="2"/>
      <c r="J8" s="2"/>
      <c r="K8" s="2"/>
      <c r="L8" s="90">
        <v>4</v>
      </c>
      <c r="M8" s="2">
        <v>5</v>
      </c>
      <c r="N8" s="2">
        <v>3</v>
      </c>
      <c r="O8" s="23">
        <v>5</v>
      </c>
      <c r="R8" s="86">
        <v>6</v>
      </c>
      <c r="S8" s="2">
        <v>1</v>
      </c>
      <c r="T8" s="2"/>
      <c r="U8" s="2"/>
    </row>
    <row r="9" spans="1:21">
      <c r="I9" s="2"/>
      <c r="J9" s="2"/>
      <c r="K9" s="2"/>
      <c r="L9" s="90">
        <v>2</v>
      </c>
      <c r="M9" s="2">
        <v>3</v>
      </c>
      <c r="N9" s="2">
        <v>2</v>
      </c>
      <c r="O9" s="23">
        <v>2</v>
      </c>
      <c r="R9" s="86"/>
      <c r="S9" s="2"/>
      <c r="T9" s="2"/>
      <c r="U9" s="2"/>
    </row>
    <row r="10" spans="1:21">
      <c r="B10" s="2"/>
      <c r="C10" s="2"/>
      <c r="D10" s="2"/>
      <c r="E10" s="2"/>
      <c r="F10" s="2"/>
      <c r="G10" s="2"/>
      <c r="H10" s="2"/>
      <c r="I10" s="2"/>
      <c r="J10" s="2"/>
      <c r="K10" s="2"/>
      <c r="P10" s="2">
        <f>SUM(P3:P9)</f>
        <v>256</v>
      </c>
      <c r="Q10" s="2"/>
      <c r="R10" s="2"/>
      <c r="S10" s="2"/>
      <c r="T10" s="2"/>
      <c r="U10" s="2"/>
    </row>
    <row r="11" spans="1:21">
      <c r="B11" s="2" t="s">
        <v>95</v>
      </c>
      <c r="C11" s="23" t="s">
        <v>96</v>
      </c>
      <c r="D11" s="23" t="s">
        <v>265</v>
      </c>
      <c r="F11" s="2" t="s">
        <v>95</v>
      </c>
      <c r="G11" s="23" t="s">
        <v>96</v>
      </c>
      <c r="H11" s="23" t="s">
        <v>265</v>
      </c>
      <c r="I11" s="2"/>
      <c r="J11" s="2"/>
      <c r="K11" s="2"/>
      <c r="P11" s="2"/>
      <c r="Q11" s="2"/>
      <c r="R11" s="2"/>
      <c r="S11" s="2"/>
      <c r="T11" s="2"/>
      <c r="U11" s="2"/>
    </row>
    <row r="12" spans="1:21">
      <c r="A12" s="23">
        <v>1</v>
      </c>
      <c r="B12" s="2">
        <v>1</v>
      </c>
      <c r="C12" s="2">
        <v>2</v>
      </c>
      <c r="D12" s="2">
        <v>30</v>
      </c>
      <c r="F12" s="22">
        <v>3</v>
      </c>
      <c r="G12" s="22">
        <v>6</v>
      </c>
      <c r="H12" s="22">
        <v>45</v>
      </c>
      <c r="I12" s="2"/>
      <c r="J12" s="2"/>
      <c r="K12" s="2"/>
      <c r="P12" s="2"/>
      <c r="Q12" s="2"/>
      <c r="R12" s="2"/>
      <c r="S12" s="2"/>
      <c r="T12" s="2"/>
      <c r="U12" s="2"/>
    </row>
    <row r="13" spans="1:21">
      <c r="A13" s="23">
        <v>2</v>
      </c>
      <c r="B13" s="2">
        <v>1</v>
      </c>
      <c r="C13" s="2">
        <v>3</v>
      </c>
      <c r="D13" s="2">
        <v>20</v>
      </c>
      <c r="F13" s="91">
        <v>1</v>
      </c>
      <c r="G13" s="91">
        <v>2</v>
      </c>
      <c r="H13" s="91">
        <v>30</v>
      </c>
      <c r="I13" s="2"/>
      <c r="J13" s="2"/>
      <c r="K13" s="2"/>
      <c r="P13" s="2"/>
      <c r="Q13" s="2"/>
      <c r="R13" s="2"/>
      <c r="S13" s="2"/>
      <c r="T13" s="2"/>
      <c r="U13" s="2"/>
    </row>
    <row r="14" spans="1:21">
      <c r="A14" s="23">
        <v>3</v>
      </c>
      <c r="B14" s="2">
        <v>1</v>
      </c>
      <c r="C14" s="2">
        <v>4</v>
      </c>
      <c r="D14" s="2">
        <v>14</v>
      </c>
      <c r="F14" s="92">
        <v>1</v>
      </c>
      <c r="G14" s="92">
        <v>3</v>
      </c>
      <c r="H14" s="92">
        <v>20</v>
      </c>
      <c r="I14" s="2"/>
      <c r="J14" s="2"/>
      <c r="K14" s="2"/>
      <c r="P14" s="2"/>
      <c r="Q14" s="2"/>
      <c r="R14" s="2"/>
      <c r="S14" s="2"/>
      <c r="T14" s="2"/>
      <c r="U14" s="2"/>
    </row>
    <row r="15" spans="1:21">
      <c r="A15" s="23">
        <v>4</v>
      </c>
      <c r="B15" s="2">
        <v>1</v>
      </c>
      <c r="C15" s="2">
        <v>5</v>
      </c>
      <c r="D15" s="2">
        <v>9</v>
      </c>
      <c r="F15" s="92">
        <v>1</v>
      </c>
      <c r="G15" s="92">
        <v>6</v>
      </c>
      <c r="H15" s="92">
        <v>20</v>
      </c>
      <c r="I15" s="2"/>
      <c r="J15" s="2"/>
      <c r="K15" s="2"/>
      <c r="P15" s="2"/>
      <c r="Q15" s="2"/>
      <c r="R15" s="2"/>
      <c r="S15" s="2"/>
      <c r="T15" s="2"/>
      <c r="U15" s="2"/>
    </row>
    <row r="16" spans="1:21">
      <c r="A16" s="23">
        <v>5</v>
      </c>
      <c r="B16" s="2">
        <v>1</v>
      </c>
      <c r="C16" s="2">
        <v>6</v>
      </c>
      <c r="D16" s="2">
        <v>20</v>
      </c>
      <c r="F16" s="92">
        <v>2</v>
      </c>
      <c r="G16" s="92">
        <v>3</v>
      </c>
      <c r="H16" s="92">
        <v>20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3">
        <v>6</v>
      </c>
      <c r="B17" s="2">
        <v>2</v>
      </c>
      <c r="C17" s="2">
        <v>3</v>
      </c>
      <c r="D17" s="2">
        <v>20</v>
      </c>
      <c r="F17" s="92">
        <v>2</v>
      </c>
      <c r="G17" s="92">
        <v>6</v>
      </c>
      <c r="H17" s="92">
        <v>20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3">
        <v>7</v>
      </c>
      <c r="B18" s="2">
        <v>2</v>
      </c>
      <c r="C18" s="2">
        <v>4</v>
      </c>
      <c r="D18" s="2">
        <v>14</v>
      </c>
      <c r="F18" s="93">
        <v>1</v>
      </c>
      <c r="G18" s="93">
        <v>4</v>
      </c>
      <c r="H18" s="93">
        <v>14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3">
        <v>8</v>
      </c>
      <c r="B19" s="2">
        <v>2</v>
      </c>
      <c r="C19" s="2">
        <v>5</v>
      </c>
      <c r="D19" s="2">
        <v>9</v>
      </c>
      <c r="F19" s="93">
        <v>2</v>
      </c>
      <c r="G19" s="93">
        <v>4</v>
      </c>
      <c r="H19" s="93">
        <v>14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3">
        <v>9</v>
      </c>
      <c r="B20" s="2">
        <v>2</v>
      </c>
      <c r="C20" s="2">
        <v>6</v>
      </c>
      <c r="D20" s="2">
        <v>20</v>
      </c>
      <c r="F20" s="93">
        <v>3</v>
      </c>
      <c r="G20" s="93">
        <v>4</v>
      </c>
      <c r="H20" s="93">
        <v>14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3">
        <v>10</v>
      </c>
      <c r="B21" s="2">
        <v>3</v>
      </c>
      <c r="C21" s="2">
        <v>4</v>
      </c>
      <c r="D21" s="2">
        <v>14</v>
      </c>
      <c r="F21" s="93">
        <v>6</v>
      </c>
      <c r="G21" s="93">
        <v>4</v>
      </c>
      <c r="H21" s="93">
        <v>14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3">
        <v>11</v>
      </c>
      <c r="B22" s="2">
        <v>3</v>
      </c>
      <c r="C22" s="2">
        <v>5</v>
      </c>
      <c r="D22" s="2">
        <v>9</v>
      </c>
      <c r="F22" s="36">
        <v>1</v>
      </c>
      <c r="G22" s="36">
        <v>5</v>
      </c>
      <c r="H22" s="36">
        <v>9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3">
        <v>12</v>
      </c>
      <c r="B23" s="2">
        <v>3</v>
      </c>
      <c r="C23" s="2">
        <v>6</v>
      </c>
      <c r="D23" s="2">
        <v>45</v>
      </c>
      <c r="F23" s="36">
        <v>2</v>
      </c>
      <c r="G23" s="36">
        <v>5</v>
      </c>
      <c r="H23" s="36">
        <v>9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3">
        <v>13</v>
      </c>
      <c r="B24" s="23">
        <v>4</v>
      </c>
      <c r="C24" s="23">
        <v>5</v>
      </c>
      <c r="D24" s="23">
        <v>9</v>
      </c>
      <c r="F24" s="36">
        <v>3</v>
      </c>
      <c r="G24" s="36">
        <v>5</v>
      </c>
      <c r="H24" s="36">
        <v>9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3">
        <v>14</v>
      </c>
      <c r="B25" s="2">
        <v>4</v>
      </c>
      <c r="C25" s="2">
        <v>6</v>
      </c>
      <c r="D25" s="2">
        <v>14</v>
      </c>
      <c r="F25" s="94">
        <v>4</v>
      </c>
      <c r="G25" s="94">
        <v>5</v>
      </c>
      <c r="H25" s="94">
        <v>9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3">
        <v>15</v>
      </c>
      <c r="B26" s="2">
        <v>5</v>
      </c>
      <c r="C26" s="2">
        <v>6</v>
      </c>
      <c r="D26" s="2">
        <v>9</v>
      </c>
      <c r="F26" s="36">
        <v>6</v>
      </c>
      <c r="G26" s="36">
        <v>5</v>
      </c>
      <c r="H26" s="36">
        <v>9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B27" s="2"/>
      <c r="D27" s="23">
        <f>SUM(D12:D26)</f>
        <v>256</v>
      </c>
      <c r="F27" s="2"/>
      <c r="G27" s="2"/>
      <c r="H27" s="23">
        <f>SUM(H12:H26)</f>
        <v>256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B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B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2:2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2:2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2:2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2:2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2:2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2:2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2:2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2:2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2:2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2:21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2:21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2:21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2:21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2:21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2:21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2:2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2:21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2:21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2:21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2:21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2:21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2:21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2:21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2:21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2:21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2:21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</sheetData>
  <mergeCells count="1">
    <mergeCell ref="R2:S2"/>
  </mergeCells>
  <phoneticPr fontId="2" type="noConversion"/>
  <hyperlinks>
    <hyperlink ref="A1" location="목차!A1" display="HOME" xr:uid="{4257F75D-A851-4814-B6F4-95A036B5123E}"/>
  </hyperlink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F36B8-0836-4E67-8CD7-3E7779F887E4}">
  <dimension ref="A1"/>
  <sheetViews>
    <sheetView topLeftCell="A6" zoomScale="115" zoomScaleNormal="115" workbookViewId="0">
      <selection activeCell="U20" sqref="U20"/>
    </sheetView>
  </sheetViews>
  <sheetFormatPr defaultRowHeight="17.399999999999999"/>
  <cols>
    <col min="1" max="1" width="6.69921875" customWidth="1"/>
  </cols>
  <sheetData>
    <row r="1" spans="1:1" ht="18" thickBot="1">
      <c r="A1" s="19" t="s">
        <v>64</v>
      </c>
    </row>
  </sheetData>
  <phoneticPr fontId="2" type="noConversion"/>
  <hyperlinks>
    <hyperlink ref="A1" location="목차!A1" display="HOME" xr:uid="{69A1F53C-46A6-4130-91E1-7C71C6DB8989}"/>
  </hyperlink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00D-B6BE-4052-B9FC-669E6AA6961F}">
  <dimension ref="A1"/>
  <sheetViews>
    <sheetView zoomScale="85" zoomScaleNormal="85" workbookViewId="0"/>
  </sheetViews>
  <sheetFormatPr defaultRowHeight="17.399999999999999"/>
  <cols>
    <col min="1" max="1" width="6.69921875" customWidth="1"/>
  </cols>
  <sheetData>
    <row r="1" spans="1:1" ht="18" thickBot="1">
      <c r="A1" s="19" t="s">
        <v>64</v>
      </c>
    </row>
  </sheetData>
  <phoneticPr fontId="2" type="noConversion"/>
  <hyperlinks>
    <hyperlink ref="A1" location="목차!A1" display="HOME" xr:uid="{200D2FE8-CD71-4A01-A6C7-3FC2988C634F}"/>
  </hyperlink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778E-00CB-4B7A-B6CF-AD0AD13A44AB}">
  <dimension ref="A1"/>
  <sheetViews>
    <sheetView zoomScale="115" zoomScaleNormal="115" workbookViewId="0"/>
  </sheetViews>
  <sheetFormatPr defaultRowHeight="17.399999999999999"/>
  <sheetData>
    <row r="1" spans="1:1" ht="18" thickBot="1">
      <c r="A1" s="19" t="s">
        <v>64</v>
      </c>
    </row>
  </sheetData>
  <phoneticPr fontId="2" type="noConversion"/>
  <hyperlinks>
    <hyperlink ref="A1" location="목차!A1" display="HOME" xr:uid="{29CF54B5-3CF2-407F-BE5B-E55FAF383D3A}"/>
  </hyperlink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E58B5-827B-4363-93CD-5FDE4638102D}">
  <dimension ref="A1"/>
  <sheetViews>
    <sheetView zoomScale="130" zoomScaleNormal="130" workbookViewId="0"/>
  </sheetViews>
  <sheetFormatPr defaultRowHeight="17.399999999999999"/>
  <sheetData>
    <row r="1" spans="1:1" ht="18" thickBot="1">
      <c r="A1" s="19" t="s">
        <v>64</v>
      </c>
    </row>
  </sheetData>
  <phoneticPr fontId="2" type="noConversion"/>
  <hyperlinks>
    <hyperlink ref="A1" location="목차!A1" display="HOME" xr:uid="{855A997C-88A2-4FB0-B2BA-24E156B143FB}"/>
  </hyperlink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2251F-0F79-426C-8CF0-B8969B0873A8}">
  <dimension ref="A1:AM86"/>
  <sheetViews>
    <sheetView zoomScale="70" zoomScaleNormal="70" workbookViewId="0"/>
  </sheetViews>
  <sheetFormatPr defaultColWidth="5.5" defaultRowHeight="20.25" customHeight="1"/>
  <cols>
    <col min="1" max="1" width="9.59765625" style="15" customWidth="1"/>
    <col min="2" max="16384" width="5.5" style="15"/>
  </cols>
  <sheetData>
    <row r="1" spans="1:37" ht="18" thickBot="1">
      <c r="A1" s="19" t="s">
        <v>64</v>
      </c>
      <c r="B1" s="123"/>
    </row>
    <row r="2" spans="1:37" ht="17.399999999999999">
      <c r="B2" s="123"/>
    </row>
    <row r="3" spans="1:37" ht="17.399999999999999">
      <c r="B3" s="123"/>
      <c r="AC3" s="15">
        <v>1</v>
      </c>
      <c r="AD3" s="15">
        <v>1</v>
      </c>
      <c r="AE3" s="15">
        <v>1</v>
      </c>
      <c r="AF3" s="15">
        <v>1</v>
      </c>
      <c r="AG3" s="15">
        <v>1</v>
      </c>
      <c r="AH3" s="15">
        <v>1</v>
      </c>
      <c r="AI3" s="15">
        <v>1</v>
      </c>
    </row>
    <row r="4" spans="1:37" ht="17.399999999999999">
      <c r="B4" s="123"/>
      <c r="AC4" s="15">
        <v>1</v>
      </c>
      <c r="AD4" s="15">
        <v>1</v>
      </c>
      <c r="AE4" s="15">
        <v>1</v>
      </c>
      <c r="AF4" s="15">
        <v>1</v>
      </c>
      <c r="AG4" s="15">
        <v>1</v>
      </c>
      <c r="AH4" s="15">
        <v>1</v>
      </c>
      <c r="AI4" s="15">
        <v>1</v>
      </c>
    </row>
    <row r="5" spans="1:37" ht="17.399999999999999">
      <c r="B5" s="123"/>
      <c r="AC5" s="15">
        <v>1</v>
      </c>
      <c r="AD5" s="15">
        <v>1</v>
      </c>
      <c r="AE5" s="15">
        <v>1</v>
      </c>
      <c r="AF5" s="15">
        <v>1</v>
      </c>
      <c r="AG5" s="15">
        <v>1</v>
      </c>
      <c r="AH5" s="15">
        <v>1</v>
      </c>
      <c r="AI5" s="15">
        <v>1</v>
      </c>
    </row>
    <row r="6" spans="1:37" ht="17.399999999999999">
      <c r="B6" s="123"/>
      <c r="AC6" s="15">
        <v>1</v>
      </c>
      <c r="AD6" s="15">
        <v>1</v>
      </c>
      <c r="AE6" s="15">
        <v>1</v>
      </c>
      <c r="AF6" s="15">
        <v>2</v>
      </c>
      <c r="AG6" s="15">
        <v>2</v>
      </c>
      <c r="AH6" s="15">
        <v>2</v>
      </c>
      <c r="AI6" s="15">
        <v>2</v>
      </c>
      <c r="AJ6" s="15">
        <v>1</v>
      </c>
      <c r="AK6" s="15">
        <v>1</v>
      </c>
    </row>
    <row r="7" spans="1:37" ht="17.399999999999999">
      <c r="B7" s="123"/>
      <c r="AC7" s="15">
        <v>1</v>
      </c>
      <c r="AD7" s="15">
        <v>1</v>
      </c>
      <c r="AE7" s="15">
        <v>1</v>
      </c>
      <c r="AF7" s="15">
        <v>2</v>
      </c>
      <c r="AG7" s="15">
        <v>2</v>
      </c>
      <c r="AH7" s="15">
        <v>2</v>
      </c>
      <c r="AI7" s="15">
        <v>2</v>
      </c>
      <c r="AJ7" s="15">
        <v>1</v>
      </c>
      <c r="AK7" s="15">
        <v>1</v>
      </c>
    </row>
    <row r="8" spans="1:37" ht="17.399999999999999">
      <c r="B8" s="123"/>
      <c r="AC8" s="15">
        <v>1</v>
      </c>
      <c r="AD8" s="15">
        <v>1</v>
      </c>
      <c r="AE8" s="15">
        <v>1</v>
      </c>
      <c r="AF8" s="15">
        <v>2</v>
      </c>
      <c r="AG8" s="15">
        <v>2</v>
      </c>
      <c r="AH8" s="15">
        <v>2</v>
      </c>
      <c r="AI8" s="15">
        <v>2</v>
      </c>
      <c r="AJ8" s="15">
        <v>1</v>
      </c>
      <c r="AK8" s="15">
        <v>1</v>
      </c>
    </row>
    <row r="9" spans="1:37" ht="17.399999999999999">
      <c r="B9" s="123"/>
      <c r="AC9" s="15">
        <v>1</v>
      </c>
      <c r="AD9" s="15">
        <v>1</v>
      </c>
      <c r="AE9" s="15">
        <v>1</v>
      </c>
      <c r="AF9" s="15">
        <v>2</v>
      </c>
      <c r="AG9" s="15">
        <v>2</v>
      </c>
      <c r="AH9" s="15">
        <v>2</v>
      </c>
      <c r="AI9" s="15">
        <v>2</v>
      </c>
      <c r="AJ9" s="15">
        <v>1</v>
      </c>
      <c r="AK9" s="15">
        <v>1</v>
      </c>
    </row>
    <row r="10" spans="1:37" ht="17.399999999999999">
      <c r="B10" s="123"/>
      <c r="AC10" s="15">
        <v>1</v>
      </c>
      <c r="AD10" s="15">
        <v>1</v>
      </c>
      <c r="AE10" s="15">
        <v>1</v>
      </c>
      <c r="AF10" s="15">
        <v>2</v>
      </c>
      <c r="AG10" s="15">
        <v>2</v>
      </c>
      <c r="AH10" s="15">
        <v>2</v>
      </c>
      <c r="AI10" s="15">
        <v>2</v>
      </c>
      <c r="AJ10" s="15">
        <v>1</v>
      </c>
      <c r="AK10" s="15">
        <v>1</v>
      </c>
    </row>
    <row r="11" spans="1:37" ht="17.399999999999999">
      <c r="B11" s="123"/>
      <c r="AF11" s="15">
        <v>1</v>
      </c>
      <c r="AG11" s="15">
        <v>1</v>
      </c>
      <c r="AH11" s="15">
        <v>1</v>
      </c>
      <c r="AI11" s="15">
        <v>1</v>
      </c>
      <c r="AJ11" s="15">
        <v>1</v>
      </c>
      <c r="AK11" s="15">
        <v>1</v>
      </c>
    </row>
    <row r="12" spans="1:37" ht="17.399999999999999">
      <c r="B12" s="123"/>
    </row>
    <row r="13" spans="1:37" ht="17.399999999999999">
      <c r="B13" s="123"/>
    </row>
    <row r="14" spans="1:37" ht="17.399999999999999">
      <c r="B14" s="123"/>
    </row>
    <row r="15" spans="1:37" ht="17.399999999999999">
      <c r="B15" s="123"/>
    </row>
    <row r="16" spans="1:37" ht="17.399999999999999">
      <c r="B16" s="123"/>
    </row>
    <row r="17" spans="2:32" ht="17.399999999999999">
      <c r="B17" s="123"/>
    </row>
    <row r="18" spans="2:32" ht="17.399999999999999">
      <c r="B18" s="123"/>
    </row>
    <row r="19" spans="2:32" ht="17.399999999999999">
      <c r="B19" s="123"/>
    </row>
    <row r="20" spans="2:32" ht="17.399999999999999">
      <c r="B20" s="123"/>
    </row>
    <row r="21" spans="2:32" ht="17.399999999999999">
      <c r="B21" s="123"/>
    </row>
    <row r="22" spans="2:32" ht="17.399999999999999">
      <c r="B22" s="123"/>
    </row>
    <row r="23" spans="2:32" ht="17.399999999999999">
      <c r="B23" s="123"/>
    </row>
    <row r="24" spans="2:32" ht="17.399999999999999">
      <c r="B24" s="123"/>
    </row>
    <row r="25" spans="2:32" ht="17.399999999999999">
      <c r="B25" s="123"/>
    </row>
    <row r="26" spans="2:32" ht="17.399999999999999">
      <c r="B26" s="123"/>
    </row>
    <row r="27" spans="2:32" s="2" customFormat="1" ht="17.399999999999999"/>
    <row r="28" spans="2:32" s="2" customFormat="1" ht="17.399999999999999">
      <c r="D28" s="2" t="s">
        <v>120</v>
      </c>
      <c r="E28" s="20">
        <v>0</v>
      </c>
      <c r="F28" s="20">
        <v>1</v>
      </c>
      <c r="G28" s="20">
        <v>2</v>
      </c>
      <c r="H28" s="20">
        <v>3</v>
      </c>
      <c r="I28" s="20">
        <v>4</v>
      </c>
      <c r="J28" s="20">
        <v>5</v>
      </c>
      <c r="K28" s="20">
        <v>6</v>
      </c>
      <c r="L28" s="20">
        <v>7</v>
      </c>
      <c r="M28" s="20">
        <v>8</v>
      </c>
      <c r="N28" s="20">
        <v>9</v>
      </c>
      <c r="O28" s="20">
        <v>10</v>
      </c>
      <c r="P28" s="20">
        <v>11</v>
      </c>
      <c r="T28" s="2" t="s">
        <v>121</v>
      </c>
      <c r="U28" s="20">
        <v>0</v>
      </c>
      <c r="V28" s="20">
        <v>1</v>
      </c>
      <c r="W28" s="20">
        <v>2</v>
      </c>
      <c r="X28" s="20">
        <v>3</v>
      </c>
      <c r="Y28" s="20">
        <v>4</v>
      </c>
      <c r="Z28" s="20">
        <v>5</v>
      </c>
      <c r="AA28" s="20">
        <v>6</v>
      </c>
      <c r="AB28" s="20">
        <v>7</v>
      </c>
      <c r="AC28" s="20">
        <v>8</v>
      </c>
      <c r="AD28" s="20">
        <v>9</v>
      </c>
      <c r="AE28" s="20">
        <v>10</v>
      </c>
      <c r="AF28" s="20">
        <v>11</v>
      </c>
    </row>
    <row r="29" spans="2:32" s="2" customFormat="1" ht="17.399999999999999">
      <c r="D29" s="20">
        <v>0</v>
      </c>
      <c r="T29" s="20">
        <v>0</v>
      </c>
    </row>
    <row r="30" spans="2:32" s="2" customFormat="1" ht="25.2">
      <c r="D30" s="20">
        <v>1</v>
      </c>
      <c r="F30" s="124">
        <v>1</v>
      </c>
      <c r="G30" s="124">
        <v>1</v>
      </c>
      <c r="H30" s="124">
        <v>1</v>
      </c>
      <c r="I30" s="124">
        <v>1</v>
      </c>
      <c r="J30" s="124">
        <v>1</v>
      </c>
      <c r="K30" s="124"/>
      <c r="L30" s="124"/>
      <c r="M30" s="124"/>
      <c r="N30" s="124"/>
      <c r="O30" s="124"/>
      <c r="T30" s="20">
        <v>1</v>
      </c>
      <c r="V30" s="125">
        <f t="shared" ref="V30:AF40" si="0">F30-E30-F29+E29</f>
        <v>1</v>
      </c>
      <c r="W30" s="21">
        <f t="shared" si="0"/>
        <v>0</v>
      </c>
      <c r="X30" s="21">
        <f t="shared" si="0"/>
        <v>0</v>
      </c>
      <c r="Y30" s="21">
        <f t="shared" si="0"/>
        <v>0</v>
      </c>
      <c r="Z30" s="21">
        <f t="shared" si="0"/>
        <v>0</v>
      </c>
      <c r="AA30" s="125">
        <f t="shared" si="0"/>
        <v>-1</v>
      </c>
      <c r="AB30" s="21">
        <f t="shared" si="0"/>
        <v>0</v>
      </c>
      <c r="AC30" s="21">
        <f t="shared" si="0"/>
        <v>0</v>
      </c>
      <c r="AD30" s="21">
        <f t="shared" si="0"/>
        <v>0</v>
      </c>
      <c r="AE30" s="21">
        <f t="shared" si="0"/>
        <v>0</v>
      </c>
      <c r="AF30" s="2">
        <f t="shared" si="0"/>
        <v>0</v>
      </c>
    </row>
    <row r="31" spans="2:32" s="2" customFormat="1" ht="25.2">
      <c r="D31" s="20">
        <v>2</v>
      </c>
      <c r="F31" s="124">
        <v>1</v>
      </c>
      <c r="G31" s="124">
        <v>1</v>
      </c>
      <c r="H31" s="124">
        <v>1</v>
      </c>
      <c r="I31" s="124">
        <v>1</v>
      </c>
      <c r="J31" s="124">
        <v>1</v>
      </c>
      <c r="K31" s="124"/>
      <c r="L31" s="124"/>
      <c r="M31" s="124"/>
      <c r="N31" s="124"/>
      <c r="O31" s="124"/>
      <c r="T31" s="20">
        <v>2</v>
      </c>
      <c r="V31" s="21">
        <f t="shared" si="0"/>
        <v>0</v>
      </c>
      <c r="W31" s="21">
        <f t="shared" si="0"/>
        <v>0</v>
      </c>
      <c r="X31" s="21">
        <f t="shared" si="0"/>
        <v>0</v>
      </c>
      <c r="Y31" s="21">
        <f t="shared" si="0"/>
        <v>0</v>
      </c>
      <c r="Z31" s="21">
        <f t="shared" si="0"/>
        <v>0</v>
      </c>
      <c r="AA31" s="21">
        <f t="shared" si="0"/>
        <v>0</v>
      </c>
      <c r="AB31" s="21">
        <f t="shared" si="0"/>
        <v>0</v>
      </c>
      <c r="AC31" s="21">
        <f t="shared" si="0"/>
        <v>0</v>
      </c>
      <c r="AD31" s="21">
        <f t="shared" si="0"/>
        <v>0</v>
      </c>
      <c r="AE31" s="21">
        <f t="shared" si="0"/>
        <v>0</v>
      </c>
      <c r="AF31" s="2">
        <f t="shared" si="0"/>
        <v>0</v>
      </c>
    </row>
    <row r="32" spans="2:32" s="2" customFormat="1" ht="25.2">
      <c r="D32" s="20">
        <v>3</v>
      </c>
      <c r="F32" s="124">
        <v>1</v>
      </c>
      <c r="G32" s="124">
        <v>1</v>
      </c>
      <c r="H32" s="124">
        <v>2</v>
      </c>
      <c r="I32" s="124">
        <v>2</v>
      </c>
      <c r="J32" s="124">
        <v>2</v>
      </c>
      <c r="K32" s="124">
        <v>1</v>
      </c>
      <c r="L32" s="124">
        <v>1</v>
      </c>
      <c r="M32" s="124">
        <v>1</v>
      </c>
      <c r="N32" s="124"/>
      <c r="O32" s="124"/>
      <c r="T32" s="20">
        <v>3</v>
      </c>
      <c r="V32" s="21">
        <f t="shared" si="0"/>
        <v>0</v>
      </c>
      <c r="W32" s="21">
        <f t="shared" si="0"/>
        <v>0</v>
      </c>
      <c r="X32" s="125">
        <f t="shared" si="0"/>
        <v>1</v>
      </c>
      <c r="Y32" s="21">
        <f t="shared" si="0"/>
        <v>0</v>
      </c>
      <c r="Z32" s="21">
        <f t="shared" si="0"/>
        <v>0</v>
      </c>
      <c r="AA32" s="21">
        <f t="shared" si="0"/>
        <v>0</v>
      </c>
      <c r="AB32" s="21">
        <f t="shared" si="0"/>
        <v>0</v>
      </c>
      <c r="AC32" s="21">
        <f t="shared" si="0"/>
        <v>0</v>
      </c>
      <c r="AD32" s="125">
        <f t="shared" si="0"/>
        <v>-1</v>
      </c>
      <c r="AE32" s="21">
        <f t="shared" si="0"/>
        <v>0</v>
      </c>
      <c r="AF32" s="2">
        <f t="shared" si="0"/>
        <v>0</v>
      </c>
    </row>
    <row r="33" spans="4:39" s="2" customFormat="1" ht="20.25" customHeight="1">
      <c r="D33" s="20">
        <v>4</v>
      </c>
      <c r="F33" s="124">
        <v>1</v>
      </c>
      <c r="G33" s="124">
        <v>1</v>
      </c>
      <c r="H33" s="124">
        <v>2</v>
      </c>
      <c r="I33" s="124">
        <v>3</v>
      </c>
      <c r="J33" s="124">
        <v>3</v>
      </c>
      <c r="K33" s="124">
        <v>2</v>
      </c>
      <c r="L33" s="124">
        <v>2</v>
      </c>
      <c r="M33" s="124">
        <v>2</v>
      </c>
      <c r="N33" s="124">
        <v>1</v>
      </c>
      <c r="O33" s="124">
        <v>1</v>
      </c>
      <c r="T33" s="20">
        <v>4</v>
      </c>
      <c r="V33" s="21">
        <f t="shared" si="0"/>
        <v>0</v>
      </c>
      <c r="W33" s="21">
        <f t="shared" si="0"/>
        <v>0</v>
      </c>
      <c r="X33" s="21">
        <f t="shared" si="0"/>
        <v>0</v>
      </c>
      <c r="Y33" s="125">
        <f t="shared" si="0"/>
        <v>1</v>
      </c>
      <c r="Z33" s="21">
        <f t="shared" si="0"/>
        <v>0</v>
      </c>
      <c r="AA33" s="21">
        <f t="shared" si="0"/>
        <v>0</v>
      </c>
      <c r="AB33" s="21">
        <f t="shared" si="0"/>
        <v>0</v>
      </c>
      <c r="AC33" s="21">
        <f t="shared" si="0"/>
        <v>0</v>
      </c>
      <c r="AD33" s="21">
        <f t="shared" si="0"/>
        <v>0</v>
      </c>
      <c r="AE33" s="21">
        <f t="shared" si="0"/>
        <v>0</v>
      </c>
      <c r="AF33" s="126">
        <f t="shared" si="0"/>
        <v>-1</v>
      </c>
    </row>
    <row r="34" spans="4:39" s="2" customFormat="1" ht="20.25" customHeight="1">
      <c r="D34" s="20">
        <v>5</v>
      </c>
      <c r="F34" s="124">
        <v>1</v>
      </c>
      <c r="G34" s="124">
        <v>1</v>
      </c>
      <c r="H34" s="124">
        <v>2</v>
      </c>
      <c r="I34" s="124">
        <v>3</v>
      </c>
      <c r="J34" s="124">
        <v>3</v>
      </c>
      <c r="K34" s="124">
        <v>2</v>
      </c>
      <c r="L34" s="124">
        <v>2</v>
      </c>
      <c r="M34" s="124">
        <v>2</v>
      </c>
      <c r="N34" s="124">
        <v>1</v>
      </c>
      <c r="O34" s="124">
        <v>1</v>
      </c>
      <c r="T34" s="20">
        <v>5</v>
      </c>
      <c r="V34" s="21">
        <f t="shared" si="0"/>
        <v>0</v>
      </c>
      <c r="W34" s="21">
        <f t="shared" si="0"/>
        <v>0</v>
      </c>
      <c r="X34" s="21">
        <f t="shared" si="0"/>
        <v>0</v>
      </c>
      <c r="Y34" s="21">
        <f t="shared" si="0"/>
        <v>0</v>
      </c>
      <c r="Z34" s="21">
        <f t="shared" si="0"/>
        <v>0</v>
      </c>
      <c r="AA34" s="21">
        <f t="shared" si="0"/>
        <v>0</v>
      </c>
      <c r="AB34" s="21">
        <f t="shared" si="0"/>
        <v>0</v>
      </c>
      <c r="AC34" s="21">
        <f t="shared" si="0"/>
        <v>0</v>
      </c>
      <c r="AD34" s="21">
        <f t="shared" si="0"/>
        <v>0</v>
      </c>
      <c r="AE34" s="21">
        <f t="shared" si="0"/>
        <v>0</v>
      </c>
      <c r="AF34" s="2">
        <f t="shared" si="0"/>
        <v>0</v>
      </c>
    </row>
    <row r="35" spans="4:39" s="2" customFormat="1" ht="20.25" customHeight="1">
      <c r="D35" s="20">
        <v>6</v>
      </c>
      <c r="F35" s="124"/>
      <c r="G35" s="124"/>
      <c r="H35" s="124">
        <v>1</v>
      </c>
      <c r="I35" s="124">
        <v>2</v>
      </c>
      <c r="J35" s="124">
        <v>2</v>
      </c>
      <c r="K35" s="124">
        <v>2</v>
      </c>
      <c r="L35" s="124">
        <v>2</v>
      </c>
      <c r="M35" s="124">
        <v>2</v>
      </c>
      <c r="N35" s="124">
        <v>1</v>
      </c>
      <c r="O35" s="124">
        <v>1</v>
      </c>
      <c r="T35" s="20">
        <v>6</v>
      </c>
      <c r="V35" s="125">
        <f t="shared" si="0"/>
        <v>-1</v>
      </c>
      <c r="W35" s="21">
        <f t="shared" si="0"/>
        <v>0</v>
      </c>
      <c r="X35" s="21">
        <f t="shared" si="0"/>
        <v>0</v>
      </c>
      <c r="Y35" s="21">
        <f t="shared" si="0"/>
        <v>0</v>
      </c>
      <c r="Z35" s="21">
        <f t="shared" si="0"/>
        <v>0</v>
      </c>
      <c r="AA35" s="125">
        <f t="shared" si="0"/>
        <v>1</v>
      </c>
      <c r="AB35" s="21">
        <f t="shared" si="0"/>
        <v>0</v>
      </c>
      <c r="AC35" s="21">
        <f t="shared" si="0"/>
        <v>0</v>
      </c>
      <c r="AD35" s="21">
        <f t="shared" si="0"/>
        <v>0</v>
      </c>
      <c r="AE35" s="21">
        <f t="shared" si="0"/>
        <v>0</v>
      </c>
      <c r="AF35" s="2">
        <f t="shared" si="0"/>
        <v>0</v>
      </c>
    </row>
    <row r="36" spans="4:39" s="2" customFormat="1" ht="20.25" customHeight="1">
      <c r="D36" s="20">
        <v>7</v>
      </c>
      <c r="F36" s="124"/>
      <c r="G36" s="124"/>
      <c r="H36" s="124">
        <v>1</v>
      </c>
      <c r="I36" s="124">
        <v>2</v>
      </c>
      <c r="J36" s="124">
        <v>2</v>
      </c>
      <c r="K36" s="124">
        <v>2</v>
      </c>
      <c r="L36" s="124">
        <v>2</v>
      </c>
      <c r="M36" s="124">
        <v>2</v>
      </c>
      <c r="N36" s="124">
        <v>1</v>
      </c>
      <c r="O36" s="124">
        <v>1</v>
      </c>
      <c r="T36" s="20">
        <v>7</v>
      </c>
      <c r="V36" s="21">
        <f t="shared" si="0"/>
        <v>0</v>
      </c>
      <c r="W36" s="21">
        <f t="shared" si="0"/>
        <v>0</v>
      </c>
      <c r="X36" s="21">
        <f t="shared" si="0"/>
        <v>0</v>
      </c>
      <c r="Y36" s="21">
        <f t="shared" si="0"/>
        <v>0</v>
      </c>
      <c r="Z36" s="21">
        <f t="shared" si="0"/>
        <v>0</v>
      </c>
      <c r="AA36" s="21">
        <f t="shared" si="0"/>
        <v>0</v>
      </c>
      <c r="AB36" s="21">
        <f t="shared" si="0"/>
        <v>0</v>
      </c>
      <c r="AC36" s="21">
        <f t="shared" si="0"/>
        <v>0</v>
      </c>
      <c r="AD36" s="21">
        <f t="shared" si="0"/>
        <v>0</v>
      </c>
      <c r="AE36" s="21">
        <f t="shared" si="0"/>
        <v>0</v>
      </c>
      <c r="AF36" s="2">
        <f t="shared" si="0"/>
        <v>0</v>
      </c>
    </row>
    <row r="37" spans="4:39" s="2" customFormat="1" ht="20.25" customHeight="1">
      <c r="D37" s="20">
        <v>8</v>
      </c>
      <c r="F37" s="124"/>
      <c r="G37" s="124"/>
      <c r="H37" s="124">
        <v>1</v>
      </c>
      <c r="I37" s="124">
        <v>2</v>
      </c>
      <c r="J37" s="124">
        <v>2</v>
      </c>
      <c r="K37" s="124">
        <v>2</v>
      </c>
      <c r="L37" s="124">
        <v>2</v>
      </c>
      <c r="M37" s="124">
        <v>2</v>
      </c>
      <c r="N37" s="124">
        <v>1</v>
      </c>
      <c r="O37" s="124">
        <v>1</v>
      </c>
      <c r="T37" s="20">
        <v>8</v>
      </c>
      <c r="V37" s="21">
        <f t="shared" si="0"/>
        <v>0</v>
      </c>
      <c r="W37" s="21">
        <f t="shared" si="0"/>
        <v>0</v>
      </c>
      <c r="X37" s="21">
        <f t="shared" si="0"/>
        <v>0</v>
      </c>
      <c r="Y37" s="21">
        <f t="shared" si="0"/>
        <v>0</v>
      </c>
      <c r="Z37" s="21">
        <f t="shared" si="0"/>
        <v>0</v>
      </c>
      <c r="AA37" s="21">
        <f t="shared" si="0"/>
        <v>0</v>
      </c>
      <c r="AB37" s="21">
        <f t="shared" si="0"/>
        <v>0</v>
      </c>
      <c r="AC37" s="21">
        <f t="shared" si="0"/>
        <v>0</v>
      </c>
      <c r="AD37" s="21">
        <f t="shared" si="0"/>
        <v>0</v>
      </c>
      <c r="AE37" s="21">
        <f t="shared" si="0"/>
        <v>0</v>
      </c>
      <c r="AF37" s="2">
        <f t="shared" si="0"/>
        <v>0</v>
      </c>
    </row>
    <row r="38" spans="4:39" s="2" customFormat="1" ht="20.25" customHeight="1">
      <c r="D38" s="20">
        <v>9</v>
      </c>
      <c r="F38" s="124"/>
      <c r="G38" s="124"/>
      <c r="H38" s="124"/>
      <c r="I38" s="124">
        <v>1</v>
      </c>
      <c r="J38" s="124">
        <v>1</v>
      </c>
      <c r="K38" s="124">
        <v>1</v>
      </c>
      <c r="L38" s="124">
        <v>1</v>
      </c>
      <c r="M38" s="124">
        <v>1</v>
      </c>
      <c r="N38" s="124">
        <v>1</v>
      </c>
      <c r="O38" s="124">
        <v>1</v>
      </c>
      <c r="T38" s="20">
        <v>9</v>
      </c>
      <c r="V38" s="21">
        <f t="shared" si="0"/>
        <v>0</v>
      </c>
      <c r="W38" s="21">
        <f t="shared" si="0"/>
        <v>0</v>
      </c>
      <c r="X38" s="125">
        <f t="shared" si="0"/>
        <v>-1</v>
      </c>
      <c r="Y38" s="21">
        <f t="shared" si="0"/>
        <v>0</v>
      </c>
      <c r="Z38" s="21">
        <f t="shared" si="0"/>
        <v>0</v>
      </c>
      <c r="AA38" s="21">
        <f t="shared" si="0"/>
        <v>0</v>
      </c>
      <c r="AB38" s="21">
        <f t="shared" si="0"/>
        <v>0</v>
      </c>
      <c r="AC38" s="21">
        <f t="shared" si="0"/>
        <v>0</v>
      </c>
      <c r="AD38" s="125">
        <f t="shared" si="0"/>
        <v>1</v>
      </c>
      <c r="AE38" s="21">
        <f t="shared" si="0"/>
        <v>0</v>
      </c>
      <c r="AF38" s="2">
        <f t="shared" si="0"/>
        <v>0</v>
      </c>
    </row>
    <row r="39" spans="4:39" s="2" customFormat="1" ht="20.25" customHeight="1">
      <c r="D39" s="20">
        <v>10</v>
      </c>
      <c r="F39" s="124"/>
      <c r="G39" s="124"/>
      <c r="H39" s="124"/>
      <c r="I39" s="124">
        <v>1</v>
      </c>
      <c r="J39" s="124">
        <v>1</v>
      </c>
      <c r="K39" s="124">
        <v>1</v>
      </c>
      <c r="L39" s="124">
        <v>1</v>
      </c>
      <c r="M39" s="124">
        <v>1</v>
      </c>
      <c r="N39" s="124">
        <v>1</v>
      </c>
      <c r="O39" s="124">
        <v>1</v>
      </c>
      <c r="T39" s="20">
        <v>10</v>
      </c>
      <c r="V39" s="21">
        <f t="shared" si="0"/>
        <v>0</v>
      </c>
      <c r="W39" s="21">
        <f t="shared" si="0"/>
        <v>0</v>
      </c>
      <c r="X39" s="21">
        <f t="shared" si="0"/>
        <v>0</v>
      </c>
      <c r="Y39" s="21">
        <f t="shared" si="0"/>
        <v>0</v>
      </c>
      <c r="Z39" s="21">
        <f t="shared" si="0"/>
        <v>0</v>
      </c>
      <c r="AA39" s="21">
        <f t="shared" si="0"/>
        <v>0</v>
      </c>
      <c r="AB39" s="21">
        <f t="shared" si="0"/>
        <v>0</v>
      </c>
      <c r="AC39" s="21">
        <f t="shared" si="0"/>
        <v>0</v>
      </c>
      <c r="AD39" s="21">
        <f t="shared" si="0"/>
        <v>0</v>
      </c>
      <c r="AE39" s="21">
        <f t="shared" si="0"/>
        <v>0</v>
      </c>
      <c r="AF39" s="2">
        <f t="shared" si="0"/>
        <v>0</v>
      </c>
    </row>
    <row r="40" spans="4:39" s="2" customFormat="1" ht="20.25" customHeight="1">
      <c r="D40" s="20">
        <v>11</v>
      </c>
      <c r="T40" s="20">
        <v>11</v>
      </c>
      <c r="V40" s="2">
        <f t="shared" si="0"/>
        <v>0</v>
      </c>
      <c r="W40" s="2">
        <f t="shared" si="0"/>
        <v>0</v>
      </c>
      <c r="X40" s="2">
        <f t="shared" si="0"/>
        <v>0</v>
      </c>
      <c r="Y40" s="126">
        <f t="shared" si="0"/>
        <v>-1</v>
      </c>
      <c r="Z40" s="2">
        <f t="shared" si="0"/>
        <v>0</v>
      </c>
      <c r="AA40" s="2">
        <f t="shared" si="0"/>
        <v>0</v>
      </c>
      <c r="AB40" s="2">
        <f t="shared" si="0"/>
        <v>0</v>
      </c>
      <c r="AC40" s="2">
        <f t="shared" si="0"/>
        <v>0</v>
      </c>
      <c r="AD40" s="2">
        <f t="shared" si="0"/>
        <v>0</v>
      </c>
      <c r="AE40" s="2">
        <f t="shared" si="0"/>
        <v>0</v>
      </c>
      <c r="AF40" s="126">
        <f t="shared" si="0"/>
        <v>1</v>
      </c>
    </row>
    <row r="41" spans="4:39" s="2" customFormat="1" ht="20.25" customHeight="1">
      <c r="D41" s="20"/>
      <c r="T41" s="20"/>
      <c r="Y41" s="126"/>
      <c r="AF41" s="126"/>
    </row>
    <row r="42" spans="4:39" s="2" customFormat="1" ht="20.25" customHeight="1">
      <c r="D42" s="20"/>
      <c r="T42" s="20"/>
      <c r="Y42" s="126"/>
      <c r="AF42" s="126"/>
    </row>
    <row r="43" spans="4:39" s="2" customFormat="1" ht="20.25" customHeight="1">
      <c r="D43" s="20"/>
      <c r="T43" s="20"/>
      <c r="Y43" s="126"/>
      <c r="AF43" s="126"/>
    </row>
    <row r="44" spans="4:39" s="2" customFormat="1" ht="20.25" customHeight="1">
      <c r="D44" s="20"/>
      <c r="T44" s="20"/>
      <c r="Y44" s="126"/>
      <c r="AF44" s="126"/>
    </row>
    <row r="45" spans="4:39" s="2" customFormat="1" ht="20.25" customHeight="1">
      <c r="D45" s="20"/>
      <c r="T45" s="20"/>
      <c r="Y45" s="126"/>
      <c r="AF45" s="126"/>
    </row>
    <row r="46" spans="4:39" s="2" customFormat="1" ht="20.25" customHeight="1">
      <c r="D46" s="20"/>
      <c r="T46" s="20"/>
      <c r="Y46" s="126"/>
      <c r="AF46" s="126"/>
    </row>
    <row r="47" spans="4:39" s="2" customFormat="1" ht="20.25" customHeight="1"/>
    <row r="48" spans="4:39" s="2" customFormat="1" ht="20.25" customHeight="1">
      <c r="D48" s="2" t="s">
        <v>120</v>
      </c>
      <c r="E48" s="20">
        <v>0</v>
      </c>
      <c r="F48" s="20">
        <v>1</v>
      </c>
      <c r="G48" s="20">
        <v>2</v>
      </c>
      <c r="H48" s="20">
        <v>3</v>
      </c>
      <c r="I48" s="20">
        <v>4</v>
      </c>
      <c r="J48" s="20">
        <v>5</v>
      </c>
      <c r="K48" s="20">
        <v>6</v>
      </c>
      <c r="L48" s="20">
        <v>7</v>
      </c>
      <c r="M48" s="20">
        <v>8</v>
      </c>
      <c r="N48" s="20">
        <v>9</v>
      </c>
      <c r="O48" s="20">
        <v>10</v>
      </c>
      <c r="P48" s="20">
        <v>11</v>
      </c>
      <c r="T48" s="2" t="s">
        <v>121</v>
      </c>
      <c r="U48" s="20">
        <v>0</v>
      </c>
      <c r="V48" s="20">
        <v>1</v>
      </c>
      <c r="W48" s="20">
        <v>2</v>
      </c>
      <c r="X48" s="20">
        <v>3</v>
      </c>
      <c r="Y48" s="20">
        <v>4</v>
      </c>
      <c r="Z48" s="20">
        <v>5</v>
      </c>
      <c r="AA48" s="20">
        <v>6</v>
      </c>
      <c r="AB48" s="20">
        <v>7</v>
      </c>
      <c r="AC48" s="20">
        <v>8</v>
      </c>
      <c r="AD48" s="20">
        <v>9</v>
      </c>
      <c r="AE48" s="20">
        <v>10</v>
      </c>
      <c r="AF48" s="20">
        <v>11</v>
      </c>
      <c r="AG48" s="20">
        <v>12</v>
      </c>
      <c r="AH48" s="20">
        <v>13</v>
      </c>
      <c r="AI48" s="20">
        <v>14</v>
      </c>
      <c r="AJ48" s="20">
        <v>15</v>
      </c>
      <c r="AK48" s="20">
        <v>16</v>
      </c>
      <c r="AL48" s="20">
        <v>17</v>
      </c>
      <c r="AM48" s="20">
        <v>18</v>
      </c>
    </row>
    <row r="49" spans="4:39" s="2" customFormat="1" ht="20.25" customHeight="1">
      <c r="D49" s="20">
        <v>0</v>
      </c>
      <c r="T49" s="20">
        <v>0</v>
      </c>
    </row>
    <row r="50" spans="4:39" s="2" customFormat="1" ht="20.25" customHeight="1">
      <c r="D50" s="20">
        <v>1</v>
      </c>
      <c r="F50" s="124">
        <v>1</v>
      </c>
      <c r="G50" s="124">
        <v>1</v>
      </c>
      <c r="H50" s="124">
        <v>1</v>
      </c>
      <c r="I50" s="124">
        <v>1</v>
      </c>
      <c r="J50" s="124">
        <v>1</v>
      </c>
      <c r="K50" s="124">
        <v>1</v>
      </c>
      <c r="L50" s="124">
        <v>1</v>
      </c>
      <c r="M50" s="124">
        <v>1</v>
      </c>
      <c r="N50" s="124">
        <v>1</v>
      </c>
      <c r="O50" s="124">
        <v>1</v>
      </c>
      <c r="P50" s="124"/>
      <c r="T50" s="20">
        <v>1</v>
      </c>
      <c r="V50" s="124">
        <v>1</v>
      </c>
      <c r="W50" s="124">
        <v>1</v>
      </c>
      <c r="X50" s="124">
        <v>1</v>
      </c>
      <c r="Y50" s="124">
        <v>1</v>
      </c>
      <c r="Z50" s="124">
        <v>1</v>
      </c>
      <c r="AA50" s="124">
        <v>1</v>
      </c>
      <c r="AB50" s="124">
        <v>1</v>
      </c>
      <c r="AC50" s="124">
        <v>1</v>
      </c>
      <c r="AD50" s="124">
        <v>1</v>
      </c>
      <c r="AE50" s="124">
        <v>1</v>
      </c>
      <c r="AF50" s="124">
        <v>1</v>
      </c>
      <c r="AG50" s="124">
        <v>1</v>
      </c>
      <c r="AH50" s="124">
        <v>1</v>
      </c>
      <c r="AI50" s="124">
        <v>1</v>
      </c>
      <c r="AJ50" s="124">
        <v>1</v>
      </c>
      <c r="AK50" s="21"/>
      <c r="AL50" s="21"/>
      <c r="AM50" s="21"/>
    </row>
    <row r="51" spans="4:39" s="2" customFormat="1" ht="20.25" customHeight="1">
      <c r="D51" s="20">
        <v>2</v>
      </c>
      <c r="F51" s="124">
        <v>1</v>
      </c>
      <c r="G51" s="124">
        <v>1</v>
      </c>
      <c r="H51" s="124">
        <v>1</v>
      </c>
      <c r="I51" s="124">
        <v>1</v>
      </c>
      <c r="J51" s="124">
        <v>1</v>
      </c>
      <c r="K51" s="124">
        <v>1</v>
      </c>
      <c r="L51" s="124">
        <v>1</v>
      </c>
      <c r="M51" s="124">
        <v>1</v>
      </c>
      <c r="N51" s="124">
        <v>1</v>
      </c>
      <c r="O51" s="124">
        <v>1</v>
      </c>
      <c r="P51" s="124"/>
      <c r="T51" s="20">
        <v>2</v>
      </c>
      <c r="V51" s="124">
        <v>1</v>
      </c>
      <c r="W51" s="124">
        <v>1</v>
      </c>
      <c r="X51" s="124">
        <v>1</v>
      </c>
      <c r="Y51" s="124">
        <v>1</v>
      </c>
      <c r="Z51" s="124">
        <v>1</v>
      </c>
      <c r="AA51" s="124">
        <v>1</v>
      </c>
      <c r="AB51" s="124">
        <v>1</v>
      </c>
      <c r="AC51" s="124">
        <v>1</v>
      </c>
      <c r="AD51" s="124">
        <v>1</v>
      </c>
      <c r="AE51" s="124">
        <v>1</v>
      </c>
      <c r="AF51" s="124">
        <v>1</v>
      </c>
      <c r="AG51" s="124">
        <v>1</v>
      </c>
      <c r="AH51" s="124">
        <v>1</v>
      </c>
      <c r="AI51" s="124">
        <v>1</v>
      </c>
      <c r="AJ51" s="124">
        <v>1</v>
      </c>
      <c r="AK51" s="21"/>
      <c r="AL51" s="21"/>
      <c r="AM51" s="21"/>
    </row>
    <row r="52" spans="4:39" s="2" customFormat="1" ht="20.25" customHeight="1">
      <c r="D52" s="20">
        <v>3</v>
      </c>
      <c r="F52" s="124">
        <v>1</v>
      </c>
      <c r="G52" s="124">
        <v>1</v>
      </c>
      <c r="H52" s="124">
        <v>1</v>
      </c>
      <c r="I52" s="124">
        <v>1</v>
      </c>
      <c r="J52" s="124">
        <v>1</v>
      </c>
      <c r="K52" s="124">
        <v>1</v>
      </c>
      <c r="L52" s="124">
        <v>1</v>
      </c>
      <c r="M52" s="124">
        <v>1</v>
      </c>
      <c r="N52" s="124">
        <v>1</v>
      </c>
      <c r="O52" s="124">
        <v>1</v>
      </c>
      <c r="P52" s="124"/>
      <c r="T52" s="20">
        <v>3</v>
      </c>
      <c r="V52" s="124">
        <v>1</v>
      </c>
      <c r="W52" s="124">
        <v>1</v>
      </c>
      <c r="X52" s="124">
        <v>1</v>
      </c>
      <c r="Y52" s="124">
        <v>1</v>
      </c>
      <c r="Z52" s="124">
        <v>1</v>
      </c>
      <c r="AA52" s="124">
        <v>1</v>
      </c>
      <c r="AB52" s="124">
        <v>1</v>
      </c>
      <c r="AC52" s="124">
        <v>1</v>
      </c>
      <c r="AD52" s="124">
        <v>1</v>
      </c>
      <c r="AE52" s="124">
        <v>1</v>
      </c>
      <c r="AF52" s="124">
        <v>1</v>
      </c>
      <c r="AG52" s="124">
        <v>1</v>
      </c>
      <c r="AH52" s="124">
        <v>1</v>
      </c>
      <c r="AI52" s="124">
        <v>1</v>
      </c>
      <c r="AJ52" s="124">
        <v>1</v>
      </c>
      <c r="AK52" s="21"/>
      <c r="AL52" s="21"/>
      <c r="AM52" s="21"/>
    </row>
    <row r="53" spans="4:39" ht="20.25" customHeight="1">
      <c r="D53" s="20">
        <v>4</v>
      </c>
      <c r="E53" s="2"/>
      <c r="F53" s="124">
        <v>1</v>
      </c>
      <c r="G53" s="124">
        <v>1</v>
      </c>
      <c r="H53" s="124">
        <v>1</v>
      </c>
      <c r="I53" s="124">
        <v>1</v>
      </c>
      <c r="J53" s="124">
        <v>1</v>
      </c>
      <c r="K53" s="124">
        <v>1</v>
      </c>
      <c r="L53" s="124">
        <v>1</v>
      </c>
      <c r="M53" s="124">
        <v>1</v>
      </c>
      <c r="N53" s="124">
        <v>1</v>
      </c>
      <c r="O53" s="124">
        <v>1</v>
      </c>
      <c r="P53" s="124"/>
      <c r="Q53" s="2"/>
      <c r="R53" s="2"/>
      <c r="S53" s="2"/>
      <c r="T53" s="20">
        <v>4</v>
      </c>
      <c r="U53" s="2"/>
      <c r="V53" s="124">
        <v>1</v>
      </c>
      <c r="W53" s="124">
        <v>1</v>
      </c>
      <c r="X53" s="124">
        <v>1</v>
      </c>
      <c r="Y53" s="124">
        <v>1</v>
      </c>
      <c r="Z53" s="124">
        <v>1</v>
      </c>
      <c r="AA53" s="124">
        <v>1</v>
      </c>
      <c r="AB53" s="124">
        <v>1</v>
      </c>
      <c r="AC53" s="124">
        <v>1</v>
      </c>
      <c r="AD53" s="124">
        <v>1</v>
      </c>
      <c r="AE53" s="124">
        <v>1</v>
      </c>
      <c r="AF53" s="124">
        <v>1</v>
      </c>
      <c r="AG53" s="124">
        <v>1</v>
      </c>
      <c r="AH53" s="124">
        <v>1</v>
      </c>
      <c r="AI53" s="124">
        <v>1</v>
      </c>
      <c r="AJ53" s="124">
        <v>1</v>
      </c>
      <c r="AK53" s="21"/>
      <c r="AL53" s="21"/>
      <c r="AM53" s="21"/>
    </row>
    <row r="54" spans="4:39" ht="20.25" customHeight="1">
      <c r="D54" s="20">
        <v>5</v>
      </c>
      <c r="E54" s="2"/>
      <c r="F54" s="124">
        <v>1</v>
      </c>
      <c r="G54" s="124">
        <v>1</v>
      </c>
      <c r="H54" s="124">
        <v>1</v>
      </c>
      <c r="I54" s="124">
        <v>1</v>
      </c>
      <c r="J54" s="124">
        <v>1</v>
      </c>
      <c r="K54" s="124">
        <v>1</v>
      </c>
      <c r="L54" s="124">
        <v>1</v>
      </c>
      <c r="M54" s="124">
        <v>1</v>
      </c>
      <c r="N54" s="124">
        <v>1</v>
      </c>
      <c r="O54" s="124">
        <v>1</v>
      </c>
      <c r="P54" s="124"/>
      <c r="Q54" s="2"/>
      <c r="R54" s="2"/>
      <c r="S54" s="2"/>
      <c r="T54" s="20">
        <v>5</v>
      </c>
      <c r="U54" s="2"/>
      <c r="V54" s="124">
        <v>1</v>
      </c>
      <c r="W54" s="124">
        <v>1</v>
      </c>
      <c r="X54" s="124">
        <v>1</v>
      </c>
      <c r="Y54" s="124">
        <v>1</v>
      </c>
      <c r="Z54" s="124">
        <v>1</v>
      </c>
      <c r="AA54" s="124">
        <v>1</v>
      </c>
      <c r="AB54" s="124">
        <v>1</v>
      </c>
      <c r="AC54" s="124">
        <v>1</v>
      </c>
      <c r="AD54" s="124">
        <v>1</v>
      </c>
      <c r="AE54" s="124">
        <v>1</v>
      </c>
      <c r="AF54" s="124">
        <v>1</v>
      </c>
      <c r="AG54" s="124">
        <v>1</v>
      </c>
      <c r="AH54" s="124">
        <v>1</v>
      </c>
      <c r="AI54" s="124">
        <v>1</v>
      </c>
      <c r="AJ54" s="124">
        <v>1</v>
      </c>
      <c r="AK54" s="21"/>
      <c r="AL54" s="21"/>
      <c r="AM54" s="21"/>
    </row>
    <row r="55" spans="4:39" ht="20.25" customHeight="1">
      <c r="D55" s="20">
        <v>6</v>
      </c>
      <c r="E55" s="2"/>
      <c r="F55" s="124">
        <v>1</v>
      </c>
      <c r="G55" s="124">
        <v>1</v>
      </c>
      <c r="H55" s="124">
        <v>1</v>
      </c>
      <c r="I55" s="124">
        <v>1</v>
      </c>
      <c r="J55" s="124">
        <v>1</v>
      </c>
      <c r="K55" s="124">
        <v>1</v>
      </c>
      <c r="L55" s="124">
        <v>1</v>
      </c>
      <c r="M55" s="124">
        <v>1</v>
      </c>
      <c r="N55" s="124">
        <v>1</v>
      </c>
      <c r="O55" s="124">
        <v>1</v>
      </c>
      <c r="P55" s="124"/>
      <c r="Q55" s="2"/>
      <c r="R55" s="2"/>
      <c r="S55" s="2"/>
      <c r="T55" s="20">
        <v>6</v>
      </c>
      <c r="U55" s="2"/>
      <c r="V55" s="124">
        <v>1</v>
      </c>
      <c r="W55" s="124">
        <v>1</v>
      </c>
      <c r="X55" s="124">
        <v>1</v>
      </c>
      <c r="Y55" s="124">
        <v>1</v>
      </c>
      <c r="Z55" s="124">
        <v>1</v>
      </c>
      <c r="AA55" s="124">
        <v>1</v>
      </c>
      <c r="AB55" s="124">
        <v>1</v>
      </c>
      <c r="AC55" s="124">
        <v>1</v>
      </c>
      <c r="AD55" s="124">
        <v>1</v>
      </c>
      <c r="AE55" s="124">
        <v>1</v>
      </c>
      <c r="AF55" s="124"/>
      <c r="AG55" s="124"/>
      <c r="AH55" s="124"/>
      <c r="AI55" s="124"/>
      <c r="AJ55" s="124"/>
      <c r="AK55" s="21"/>
      <c r="AL55" s="21"/>
      <c r="AM55" s="21"/>
    </row>
    <row r="56" spans="4:39" ht="20.25" customHeight="1">
      <c r="D56" s="20">
        <v>7</v>
      </c>
      <c r="E56" s="2"/>
      <c r="F56" s="124">
        <v>1</v>
      </c>
      <c r="G56" s="124">
        <v>1</v>
      </c>
      <c r="H56" s="124">
        <v>1</v>
      </c>
      <c r="I56" s="124">
        <v>1</v>
      </c>
      <c r="J56" s="124">
        <v>1</v>
      </c>
      <c r="K56" s="124">
        <v>1</v>
      </c>
      <c r="L56" s="124">
        <v>1</v>
      </c>
      <c r="M56" s="124">
        <v>1</v>
      </c>
      <c r="N56" s="124">
        <v>1</v>
      </c>
      <c r="O56" s="124">
        <v>1</v>
      </c>
      <c r="P56" s="124"/>
      <c r="Q56" s="2"/>
      <c r="R56" s="2"/>
      <c r="S56" s="2"/>
      <c r="T56" s="20">
        <v>7</v>
      </c>
      <c r="U56" s="2"/>
      <c r="V56" s="124">
        <v>1</v>
      </c>
      <c r="W56" s="124">
        <v>1</v>
      </c>
      <c r="X56" s="124">
        <v>1</v>
      </c>
      <c r="Y56" s="124">
        <v>1</v>
      </c>
      <c r="Z56" s="124">
        <v>1</v>
      </c>
      <c r="AA56" s="124">
        <v>1</v>
      </c>
      <c r="AB56" s="124">
        <v>1</v>
      </c>
      <c r="AC56" s="124">
        <v>1</v>
      </c>
      <c r="AD56" s="124">
        <v>1</v>
      </c>
      <c r="AE56" s="124">
        <v>1</v>
      </c>
      <c r="AF56" s="124"/>
      <c r="AG56" s="124"/>
      <c r="AH56" s="124"/>
      <c r="AI56" s="124"/>
      <c r="AJ56" s="124"/>
      <c r="AK56" s="21"/>
      <c r="AL56" s="21"/>
      <c r="AM56" s="21"/>
    </row>
    <row r="57" spans="4:39" ht="20.25" customHeight="1">
      <c r="D57" s="20">
        <v>8</v>
      </c>
      <c r="E57" s="2"/>
      <c r="F57" s="124">
        <v>1</v>
      </c>
      <c r="G57" s="124">
        <v>1</v>
      </c>
      <c r="H57" s="124">
        <v>1</v>
      </c>
      <c r="I57" s="124">
        <v>1</v>
      </c>
      <c r="J57" s="124">
        <v>1</v>
      </c>
      <c r="K57" s="124">
        <v>1</v>
      </c>
      <c r="L57" s="124">
        <v>1</v>
      </c>
      <c r="M57" s="124">
        <v>1</v>
      </c>
      <c r="N57" s="124">
        <v>1</v>
      </c>
      <c r="O57" s="124">
        <v>1</v>
      </c>
      <c r="P57" s="124"/>
      <c r="Q57" s="2"/>
      <c r="R57" s="2"/>
      <c r="S57" s="2"/>
      <c r="T57" s="20">
        <v>8</v>
      </c>
      <c r="U57" s="2"/>
      <c r="V57" s="124">
        <v>1</v>
      </c>
      <c r="W57" s="124">
        <v>1</v>
      </c>
      <c r="X57" s="124">
        <v>1</v>
      </c>
      <c r="Y57" s="124">
        <v>1</v>
      </c>
      <c r="Z57" s="124">
        <v>1</v>
      </c>
      <c r="AA57" s="124">
        <v>1</v>
      </c>
      <c r="AB57" s="124">
        <v>1</v>
      </c>
      <c r="AC57" s="124">
        <v>1</v>
      </c>
      <c r="AD57" s="124">
        <v>1</v>
      </c>
      <c r="AE57" s="124">
        <v>1</v>
      </c>
      <c r="AF57" s="124"/>
      <c r="AG57" s="124"/>
      <c r="AH57" s="124"/>
      <c r="AI57" s="124"/>
      <c r="AJ57" s="124"/>
      <c r="AK57" s="21"/>
      <c r="AL57" s="21"/>
      <c r="AM57" s="21"/>
    </row>
    <row r="58" spans="4:39" ht="20.25" customHeight="1">
      <c r="D58" s="20">
        <v>9</v>
      </c>
      <c r="E58" s="2"/>
      <c r="F58" s="124">
        <v>1</v>
      </c>
      <c r="G58" s="124">
        <v>1</v>
      </c>
      <c r="H58" s="124">
        <v>1</v>
      </c>
      <c r="I58" s="124">
        <v>1</v>
      </c>
      <c r="J58" s="124">
        <v>1</v>
      </c>
      <c r="K58" s="124">
        <v>1</v>
      </c>
      <c r="L58" s="124">
        <v>1</v>
      </c>
      <c r="M58" s="124">
        <v>1</v>
      </c>
      <c r="N58" s="124">
        <v>1</v>
      </c>
      <c r="O58" s="124">
        <v>1</v>
      </c>
      <c r="P58" s="124"/>
      <c r="Q58" s="2"/>
      <c r="R58" s="2"/>
      <c r="S58" s="2"/>
      <c r="T58" s="20">
        <v>9</v>
      </c>
      <c r="U58" s="2"/>
      <c r="V58" s="124">
        <v>1</v>
      </c>
      <c r="W58" s="124">
        <v>1</v>
      </c>
      <c r="X58" s="124">
        <v>1</v>
      </c>
      <c r="Y58" s="124">
        <v>1</v>
      </c>
      <c r="Z58" s="124">
        <v>1</v>
      </c>
      <c r="AA58" s="124">
        <v>1</v>
      </c>
      <c r="AB58" s="124">
        <v>1</v>
      </c>
      <c r="AC58" s="124">
        <v>1</v>
      </c>
      <c r="AD58" s="124">
        <v>1</v>
      </c>
      <c r="AE58" s="124">
        <v>1</v>
      </c>
      <c r="AF58" s="124"/>
      <c r="AG58" s="124"/>
      <c r="AH58" s="124"/>
      <c r="AI58" s="124"/>
      <c r="AJ58" s="124"/>
      <c r="AK58" s="21"/>
      <c r="AL58" s="21"/>
      <c r="AM58" s="21"/>
    </row>
    <row r="59" spans="4:39" ht="20.25" customHeight="1">
      <c r="D59" s="20">
        <v>10</v>
      </c>
      <c r="E59" s="2"/>
      <c r="F59" s="124">
        <v>1</v>
      </c>
      <c r="G59" s="124">
        <v>1</v>
      </c>
      <c r="H59" s="124">
        <v>1</v>
      </c>
      <c r="I59" s="124">
        <v>1</v>
      </c>
      <c r="J59" s="124">
        <v>1</v>
      </c>
      <c r="K59" s="124">
        <v>1</v>
      </c>
      <c r="L59" s="124">
        <v>1</v>
      </c>
      <c r="M59" s="124">
        <v>1</v>
      </c>
      <c r="N59" s="124">
        <v>1</v>
      </c>
      <c r="O59" s="124">
        <v>1</v>
      </c>
      <c r="P59" s="124"/>
      <c r="Q59" s="2"/>
      <c r="R59" s="2"/>
      <c r="S59" s="2"/>
      <c r="T59" s="20">
        <v>10</v>
      </c>
      <c r="U59" s="2"/>
      <c r="V59" s="124">
        <v>1</v>
      </c>
      <c r="W59" s="124">
        <v>1</v>
      </c>
      <c r="X59" s="124">
        <v>1</v>
      </c>
      <c r="Y59" s="124">
        <v>1</v>
      </c>
      <c r="Z59" s="124">
        <v>1</v>
      </c>
      <c r="AA59" s="124">
        <v>1</v>
      </c>
      <c r="AB59" s="124">
        <v>1</v>
      </c>
      <c r="AC59" s="124">
        <v>1</v>
      </c>
      <c r="AD59" s="124">
        <v>1</v>
      </c>
      <c r="AE59" s="124">
        <v>1</v>
      </c>
      <c r="AF59" s="124"/>
      <c r="AG59" s="124"/>
      <c r="AH59" s="124"/>
      <c r="AI59" s="124"/>
      <c r="AJ59" s="124"/>
      <c r="AK59" s="21"/>
      <c r="AL59" s="21"/>
      <c r="AM59" s="21"/>
    </row>
    <row r="60" spans="4:39" ht="20.25" customHeight="1">
      <c r="D60" s="20">
        <v>11</v>
      </c>
      <c r="E60" s="2"/>
      <c r="F60" s="124">
        <v>1</v>
      </c>
      <c r="G60" s="124">
        <v>1</v>
      </c>
      <c r="H60" s="124">
        <v>1</v>
      </c>
      <c r="I60" s="124">
        <v>1</v>
      </c>
      <c r="J60" s="124">
        <v>1</v>
      </c>
      <c r="K60" s="124"/>
      <c r="L60" s="124"/>
      <c r="M60" s="124"/>
      <c r="N60" s="124"/>
      <c r="O60" s="124"/>
      <c r="P60" s="124"/>
      <c r="Q60" s="2"/>
      <c r="R60" s="2"/>
      <c r="S60" s="2"/>
      <c r="T60" s="20">
        <v>11</v>
      </c>
      <c r="U60" s="2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</row>
    <row r="61" spans="4:39" ht="20.25" customHeight="1">
      <c r="D61" s="20">
        <v>12</v>
      </c>
      <c r="F61" s="124">
        <v>1</v>
      </c>
      <c r="G61" s="124">
        <v>1</v>
      </c>
      <c r="H61" s="124">
        <v>1</v>
      </c>
      <c r="I61" s="124">
        <v>1</v>
      </c>
      <c r="J61" s="124">
        <v>1</v>
      </c>
      <c r="K61" s="124"/>
      <c r="L61" s="124"/>
      <c r="M61" s="124"/>
      <c r="N61" s="124"/>
      <c r="O61" s="124"/>
      <c r="P61" s="124"/>
      <c r="Q61" s="2"/>
      <c r="R61" s="2"/>
      <c r="T61" s="20">
        <v>12</v>
      </c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</row>
    <row r="62" spans="4:39" ht="20.25" customHeight="1">
      <c r="D62" s="20">
        <v>13</v>
      </c>
      <c r="F62" s="124">
        <v>1</v>
      </c>
      <c r="G62" s="124">
        <v>1</v>
      </c>
      <c r="H62" s="124">
        <v>1</v>
      </c>
      <c r="I62" s="124">
        <v>1</v>
      </c>
      <c r="J62" s="124">
        <v>1</v>
      </c>
      <c r="K62" s="124"/>
      <c r="L62" s="124"/>
      <c r="M62" s="124"/>
      <c r="N62" s="124"/>
      <c r="O62" s="124"/>
      <c r="P62" s="124"/>
      <c r="Q62" s="2"/>
      <c r="R62" s="2"/>
      <c r="T62" s="20">
        <v>13</v>
      </c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</row>
    <row r="63" spans="4:39" ht="20.25" customHeight="1">
      <c r="D63" s="20">
        <v>14</v>
      </c>
      <c r="F63" s="124">
        <v>1</v>
      </c>
      <c r="G63" s="124">
        <v>1</v>
      </c>
      <c r="H63" s="124">
        <v>1</v>
      </c>
      <c r="I63" s="124">
        <v>1</v>
      </c>
      <c r="J63" s="124">
        <v>1</v>
      </c>
      <c r="K63" s="124"/>
      <c r="L63" s="124"/>
      <c r="M63" s="124"/>
      <c r="N63" s="124"/>
      <c r="O63" s="124"/>
      <c r="P63" s="124"/>
      <c r="Q63" s="2"/>
      <c r="R63" s="2"/>
      <c r="T63" s="20">
        <v>14</v>
      </c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</row>
    <row r="64" spans="4:39" ht="20.25" customHeight="1">
      <c r="D64" s="20">
        <v>15</v>
      </c>
      <c r="F64" s="124">
        <v>1</v>
      </c>
      <c r="G64" s="124">
        <v>1</v>
      </c>
      <c r="H64" s="124">
        <v>1</v>
      </c>
      <c r="I64" s="124">
        <v>1</v>
      </c>
      <c r="J64" s="124">
        <v>1</v>
      </c>
      <c r="K64" s="124"/>
      <c r="L64" s="124"/>
      <c r="M64" s="124"/>
      <c r="N64" s="124"/>
      <c r="O64" s="124"/>
      <c r="P64" s="124"/>
      <c r="Q64" s="2"/>
      <c r="R64" s="2"/>
      <c r="T64" s="20">
        <v>15</v>
      </c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</row>
    <row r="65" spans="4:34" ht="17.399999999999999">
      <c r="Q65" s="2"/>
      <c r="R65" s="2"/>
    </row>
    <row r="66" spans="4:34" s="2" customFormat="1" ht="17.399999999999999"/>
    <row r="67" spans="4:34" s="2" customFormat="1" ht="17.399999999999999"/>
    <row r="68" spans="4:34" s="2" customFormat="1" ht="17.399999999999999">
      <c r="D68" s="2" t="s">
        <v>120</v>
      </c>
      <c r="E68" s="20">
        <v>0</v>
      </c>
      <c r="F68" s="20">
        <v>1</v>
      </c>
      <c r="G68" s="20">
        <v>2</v>
      </c>
      <c r="H68" s="20">
        <v>3</v>
      </c>
      <c r="I68" s="20">
        <v>4</v>
      </c>
      <c r="J68" s="20">
        <v>5</v>
      </c>
      <c r="K68" s="20">
        <v>6</v>
      </c>
      <c r="L68" s="20">
        <v>7</v>
      </c>
      <c r="M68" s="20">
        <v>8</v>
      </c>
      <c r="N68" s="20">
        <v>9</v>
      </c>
      <c r="O68" s="20">
        <v>10</v>
      </c>
      <c r="P68" s="20">
        <v>11</v>
      </c>
      <c r="Q68" s="20" t="s">
        <v>91</v>
      </c>
      <c r="R68" s="20"/>
      <c r="S68" s="20"/>
      <c r="U68" s="2" t="s">
        <v>120</v>
      </c>
      <c r="V68" s="20">
        <v>0</v>
      </c>
      <c r="W68" s="20">
        <v>1</v>
      </c>
      <c r="X68" s="20">
        <v>2</v>
      </c>
      <c r="Y68" s="20">
        <v>3</v>
      </c>
      <c r="Z68" s="20">
        <v>4</v>
      </c>
      <c r="AA68" s="20">
        <v>5</v>
      </c>
      <c r="AB68" s="20">
        <v>6</v>
      </c>
      <c r="AC68" s="20">
        <v>7</v>
      </c>
      <c r="AD68" s="20">
        <v>8</v>
      </c>
      <c r="AE68" s="20">
        <v>9</v>
      </c>
      <c r="AF68" s="20">
        <v>10</v>
      </c>
      <c r="AG68" s="20">
        <v>11</v>
      </c>
      <c r="AH68" s="20" t="s">
        <v>91</v>
      </c>
    </row>
    <row r="69" spans="4:34" s="2" customFormat="1" ht="17.399999999999999">
      <c r="D69" s="20">
        <v>0</v>
      </c>
      <c r="U69" s="20">
        <v>0</v>
      </c>
    </row>
    <row r="70" spans="4:34" s="2" customFormat="1" ht="25.2">
      <c r="D70" s="20">
        <v>1</v>
      </c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U70" s="20">
        <v>1</v>
      </c>
      <c r="W70" s="124"/>
      <c r="X70" s="124"/>
      <c r="Y70" s="124"/>
      <c r="Z70" s="124"/>
      <c r="AA70" s="124"/>
      <c r="AB70" s="124"/>
      <c r="AC70" s="124"/>
      <c r="AD70" s="124"/>
      <c r="AE70" s="124"/>
      <c r="AF70" s="124"/>
      <c r="AG70" s="124"/>
    </row>
    <row r="71" spans="4:34" s="2" customFormat="1" ht="25.2">
      <c r="D71" s="20">
        <v>2</v>
      </c>
      <c r="F71" s="124"/>
      <c r="G71" s="124"/>
      <c r="H71" s="127">
        <v>1</v>
      </c>
      <c r="I71" s="125">
        <v>1</v>
      </c>
      <c r="J71" s="128"/>
      <c r="K71" s="125"/>
      <c r="L71" s="127">
        <v>-1</v>
      </c>
      <c r="M71" s="128"/>
      <c r="N71" s="125">
        <v>-1</v>
      </c>
      <c r="O71" s="124"/>
      <c r="P71" s="124"/>
      <c r="U71" s="20">
        <v>2</v>
      </c>
      <c r="W71" s="124"/>
      <c r="X71" s="124"/>
      <c r="Y71" s="127">
        <v>2</v>
      </c>
      <c r="Z71" s="125"/>
      <c r="AA71" s="128"/>
      <c r="AB71" s="125"/>
      <c r="AC71" s="127">
        <v>-1</v>
      </c>
      <c r="AD71" s="128"/>
      <c r="AE71" s="125">
        <v>-1</v>
      </c>
      <c r="AF71" s="124"/>
      <c r="AG71" s="124"/>
    </row>
    <row r="72" spans="4:34" s="2" customFormat="1" ht="25.2">
      <c r="D72" s="20">
        <v>3</v>
      </c>
      <c r="F72" s="124"/>
      <c r="G72" s="124"/>
      <c r="H72" s="129">
        <v>1</v>
      </c>
      <c r="I72" s="125"/>
      <c r="J72" s="125"/>
      <c r="K72" s="125"/>
      <c r="L72" s="125"/>
      <c r="M72" s="129">
        <v>-1</v>
      </c>
      <c r="N72" s="125"/>
      <c r="O72" s="124"/>
      <c r="P72" s="124"/>
      <c r="U72" s="20">
        <v>3</v>
      </c>
      <c r="W72" s="124"/>
      <c r="X72" s="124"/>
      <c r="Y72" s="129"/>
      <c r="Z72" s="125"/>
      <c r="AA72" s="125"/>
      <c r="AB72" s="125"/>
      <c r="AC72" s="125"/>
      <c r="AD72" s="129"/>
      <c r="AE72" s="125"/>
      <c r="AF72" s="124"/>
      <c r="AG72" s="124"/>
    </row>
    <row r="73" spans="4:34" s="2" customFormat="1" ht="25.2">
      <c r="D73" s="20">
        <v>4</v>
      </c>
      <c r="F73" s="124"/>
      <c r="G73" s="124"/>
      <c r="I73" s="125"/>
      <c r="J73" s="125"/>
      <c r="K73" s="125"/>
      <c r="M73" s="125"/>
      <c r="N73" s="125"/>
      <c r="O73" s="124"/>
      <c r="P73" s="124"/>
      <c r="U73" s="20">
        <v>4</v>
      </c>
      <c r="W73" s="124"/>
      <c r="X73" s="124"/>
      <c r="Z73" s="125"/>
      <c r="AA73" s="125"/>
      <c r="AB73" s="125"/>
      <c r="AD73" s="125"/>
      <c r="AE73" s="125"/>
      <c r="AF73" s="124"/>
      <c r="AG73" s="124"/>
    </row>
    <row r="74" spans="4:34" s="2" customFormat="1" ht="25.2">
      <c r="D74" s="20">
        <v>5</v>
      </c>
      <c r="F74" s="124"/>
      <c r="G74" s="124"/>
      <c r="H74" s="130">
        <v>1</v>
      </c>
      <c r="I74" s="125"/>
      <c r="J74" s="125"/>
      <c r="K74" s="125"/>
      <c r="L74" s="130"/>
      <c r="M74" s="130">
        <v>-1</v>
      </c>
      <c r="N74" s="125"/>
      <c r="O74" s="124"/>
      <c r="P74" s="124"/>
      <c r="U74" s="20">
        <v>5</v>
      </c>
      <c r="W74" s="124"/>
      <c r="X74" s="124"/>
      <c r="Y74" s="130"/>
      <c r="Z74" s="125"/>
      <c r="AA74" s="125"/>
      <c r="AB74" s="125"/>
      <c r="AC74" s="130"/>
      <c r="AD74" s="130"/>
      <c r="AE74" s="125"/>
      <c r="AF74" s="124"/>
      <c r="AG74" s="124"/>
    </row>
    <row r="75" spans="4:34" s="2" customFormat="1" ht="25.2">
      <c r="D75" s="20">
        <v>6</v>
      </c>
      <c r="F75" s="124"/>
      <c r="G75" s="124"/>
      <c r="H75" s="125"/>
      <c r="I75" s="125"/>
      <c r="J75" s="125"/>
      <c r="K75" s="125"/>
      <c r="L75" s="125"/>
      <c r="M75" s="125"/>
      <c r="N75" s="125"/>
      <c r="O75" s="124"/>
      <c r="P75" s="124"/>
      <c r="U75" s="20">
        <v>6</v>
      </c>
      <c r="W75" s="124"/>
      <c r="X75" s="124"/>
      <c r="Y75" s="125"/>
      <c r="Z75" s="125"/>
      <c r="AA75" s="125"/>
      <c r="AB75" s="125"/>
      <c r="AC75" s="125"/>
      <c r="AD75" s="125"/>
      <c r="AE75" s="125"/>
      <c r="AF75" s="124"/>
      <c r="AG75" s="124"/>
    </row>
    <row r="76" spans="4:34" s="2" customFormat="1" ht="25.2">
      <c r="D76" s="20">
        <v>7</v>
      </c>
      <c r="F76" s="124"/>
      <c r="G76" s="124"/>
      <c r="H76" s="127">
        <v>-1</v>
      </c>
      <c r="I76" s="125"/>
      <c r="J76" s="125"/>
      <c r="K76" s="125"/>
      <c r="L76" s="127">
        <v>1</v>
      </c>
      <c r="M76" s="125"/>
      <c r="N76" s="125"/>
      <c r="O76" s="124"/>
      <c r="P76" s="124"/>
      <c r="U76" s="20">
        <v>7</v>
      </c>
      <c r="W76" s="124"/>
      <c r="X76" s="124"/>
      <c r="Y76" s="127">
        <v>-1</v>
      </c>
      <c r="Z76" s="125"/>
      <c r="AA76" s="125"/>
      <c r="AB76" s="125"/>
      <c r="AC76" s="127">
        <v>1</v>
      </c>
      <c r="AD76" s="125"/>
      <c r="AE76" s="125"/>
      <c r="AF76" s="124"/>
      <c r="AG76" s="124"/>
    </row>
    <row r="77" spans="4:34" s="2" customFormat="1" ht="25.2">
      <c r="D77" s="20">
        <v>8</v>
      </c>
      <c r="F77" s="124"/>
      <c r="G77" s="124"/>
      <c r="H77" s="129">
        <v>-1</v>
      </c>
      <c r="I77" s="125"/>
      <c r="J77" s="125"/>
      <c r="K77" s="125"/>
      <c r="L77" s="125"/>
      <c r="M77" s="129">
        <v>1</v>
      </c>
      <c r="N77" s="125"/>
      <c r="O77" s="124"/>
      <c r="P77" s="124"/>
      <c r="U77" s="20">
        <v>8</v>
      </c>
      <c r="W77" s="124"/>
      <c r="X77" s="124"/>
      <c r="Y77" s="129"/>
      <c r="Z77" s="125"/>
      <c r="AA77" s="125"/>
      <c r="AB77" s="125"/>
      <c r="AC77" s="125"/>
      <c r="AD77" s="129"/>
      <c r="AE77" s="125"/>
      <c r="AF77" s="124"/>
      <c r="AG77" s="124"/>
    </row>
    <row r="78" spans="4:34" s="2" customFormat="1" ht="25.2">
      <c r="D78" s="20">
        <v>9</v>
      </c>
      <c r="F78" s="124"/>
      <c r="G78" s="124"/>
      <c r="H78" s="130">
        <v>-1</v>
      </c>
      <c r="I78" s="125">
        <v>-1</v>
      </c>
      <c r="J78" s="128"/>
      <c r="K78" s="125"/>
      <c r="L78" s="130"/>
      <c r="M78" s="130">
        <v>1</v>
      </c>
      <c r="N78" s="125">
        <v>1</v>
      </c>
      <c r="O78" s="124"/>
      <c r="P78" s="124"/>
      <c r="U78" s="20">
        <v>9</v>
      </c>
      <c r="W78" s="124"/>
      <c r="X78" s="124"/>
      <c r="Y78" s="125">
        <v>-1</v>
      </c>
      <c r="AA78" s="128"/>
      <c r="AB78" s="125"/>
      <c r="AC78" s="130"/>
      <c r="AD78" s="130"/>
      <c r="AE78" s="125">
        <v>1</v>
      </c>
      <c r="AF78" s="124"/>
      <c r="AG78" s="124"/>
    </row>
    <row r="79" spans="4:34" s="2" customFormat="1" ht="25.2">
      <c r="D79" s="20">
        <v>10</v>
      </c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U79" s="20">
        <v>10</v>
      </c>
      <c r="W79" s="124"/>
      <c r="X79" s="124"/>
      <c r="Y79" s="124"/>
      <c r="Z79" s="124"/>
      <c r="AA79" s="124"/>
      <c r="AB79" s="124"/>
      <c r="AC79" s="124"/>
      <c r="AD79" s="124"/>
      <c r="AE79" s="124"/>
      <c r="AF79" s="124"/>
      <c r="AG79" s="124"/>
    </row>
    <row r="80" spans="4:34" ht="25.2">
      <c r="D80" s="20">
        <v>11</v>
      </c>
      <c r="E80" s="2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U80" s="20">
        <v>11</v>
      </c>
      <c r="V80" s="2"/>
      <c r="W80" s="124"/>
      <c r="X80" s="124"/>
      <c r="Y80" s="124"/>
      <c r="Z80" s="124"/>
      <c r="AA80" s="124"/>
      <c r="AB80" s="124"/>
      <c r="AC80" s="124"/>
      <c r="AD80" s="124"/>
      <c r="AE80" s="124"/>
      <c r="AF80" s="124"/>
      <c r="AG80" s="124"/>
    </row>
    <row r="81" spans="4:21" ht="17.399999999999999">
      <c r="D81" s="20" t="s">
        <v>91</v>
      </c>
      <c r="U81" s="20" t="s">
        <v>91</v>
      </c>
    </row>
    <row r="82" spans="4:21" ht="17.399999999999999">
      <c r="D82" s="20"/>
    </row>
    <row r="83" spans="4:21" ht="17.399999999999999">
      <c r="D83" s="20"/>
    </row>
    <row r="84" spans="4:21" ht="17.399999999999999">
      <c r="D84" s="20"/>
    </row>
    <row r="85" spans="4:21" ht="17.399999999999999">
      <c r="D85" s="20"/>
    </row>
    <row r="86" spans="4:21" ht="17.399999999999999">
      <c r="D86" s="20"/>
    </row>
  </sheetData>
  <phoneticPr fontId="2" type="noConversion"/>
  <hyperlinks>
    <hyperlink ref="A1" location="목차!A1" display="HOME" xr:uid="{BB178C63-4CCE-4C0C-BFD2-68FBEFBA3088}"/>
  </hyperlink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B7ED9-9BAF-4E05-ACFC-3F2E32C11FE7}">
  <dimension ref="A1:R29"/>
  <sheetViews>
    <sheetView workbookViewId="0">
      <selection activeCell="W11" sqref="W11"/>
    </sheetView>
  </sheetViews>
  <sheetFormatPr defaultRowHeight="17.399999999999999"/>
  <cols>
    <col min="2" max="2" width="42.69921875" bestFit="1" customWidth="1"/>
    <col min="9" max="18" width="3.8984375" style="2" customWidth="1"/>
    <col min="19" max="22" width="3.8984375" customWidth="1"/>
  </cols>
  <sheetData>
    <row r="1" spans="1:17" ht="18" thickBot="1">
      <c r="A1" s="19" t="s">
        <v>64</v>
      </c>
      <c r="C1" s="136"/>
    </row>
    <row r="9" spans="1:17">
      <c r="J9" s="20">
        <v>7</v>
      </c>
      <c r="K9" s="20">
        <v>6</v>
      </c>
      <c r="L9" s="20">
        <v>5</v>
      </c>
      <c r="M9" s="20">
        <v>4</v>
      </c>
      <c r="N9" s="20">
        <v>3</v>
      </c>
      <c r="O9" s="20">
        <v>2</v>
      </c>
      <c r="P9" s="20">
        <v>1</v>
      </c>
      <c r="Q9" s="20">
        <v>0</v>
      </c>
    </row>
    <row r="10" spans="1:17">
      <c r="H10" t="s">
        <v>276</v>
      </c>
      <c r="I10" s="20">
        <v>0</v>
      </c>
      <c r="J10" s="21">
        <v>7</v>
      </c>
      <c r="K10" s="21">
        <v>6</v>
      </c>
      <c r="L10" s="21">
        <v>5</v>
      </c>
      <c r="M10" s="21">
        <v>4</v>
      </c>
      <c r="N10" s="21">
        <v>3</v>
      </c>
      <c r="O10" s="21">
        <v>2</v>
      </c>
      <c r="P10" s="21">
        <v>1</v>
      </c>
      <c r="Q10" s="21">
        <v>0</v>
      </c>
    </row>
    <row r="11" spans="1:17">
      <c r="I11" s="20">
        <v>1</v>
      </c>
      <c r="J11" s="21">
        <v>15</v>
      </c>
      <c r="K11" s="21">
        <v>14</v>
      </c>
      <c r="L11" s="21">
        <v>13</v>
      </c>
      <c r="M11" s="21">
        <v>12</v>
      </c>
      <c r="N11" s="21">
        <v>11</v>
      </c>
      <c r="O11" s="21">
        <v>10</v>
      </c>
      <c r="P11" s="21">
        <v>9</v>
      </c>
      <c r="Q11" s="21">
        <v>8</v>
      </c>
    </row>
    <row r="12" spans="1:17">
      <c r="I12" s="20">
        <v>2</v>
      </c>
      <c r="J12" s="21">
        <v>23</v>
      </c>
      <c r="K12" s="21">
        <v>22</v>
      </c>
      <c r="L12" s="21">
        <v>21</v>
      </c>
      <c r="M12" s="21">
        <v>20</v>
      </c>
      <c r="N12" s="21">
        <v>19</v>
      </c>
      <c r="O12" s="21">
        <v>18</v>
      </c>
      <c r="P12" s="21">
        <v>17</v>
      </c>
      <c r="Q12" s="21">
        <v>16</v>
      </c>
    </row>
    <row r="13" spans="1:17">
      <c r="I13" s="20">
        <v>3</v>
      </c>
      <c r="J13" s="21">
        <v>31</v>
      </c>
      <c r="K13" s="21">
        <v>30</v>
      </c>
      <c r="L13" s="21">
        <v>29</v>
      </c>
      <c r="M13" s="21">
        <v>28</v>
      </c>
      <c r="N13" s="21">
        <v>27</v>
      </c>
      <c r="O13" s="21">
        <v>26</v>
      </c>
      <c r="P13" s="21">
        <v>25</v>
      </c>
      <c r="Q13" s="21">
        <v>24</v>
      </c>
    </row>
    <row r="14" spans="1:17">
      <c r="I14" s="20">
        <v>4</v>
      </c>
      <c r="J14" s="21">
        <v>39</v>
      </c>
      <c r="K14" s="21">
        <v>38</v>
      </c>
      <c r="L14" s="21">
        <v>37</v>
      </c>
      <c r="M14" s="21">
        <v>36</v>
      </c>
      <c r="N14" s="21">
        <v>35</v>
      </c>
      <c r="O14" s="21">
        <v>34</v>
      </c>
      <c r="P14" s="21">
        <v>33</v>
      </c>
      <c r="Q14" s="21">
        <v>32</v>
      </c>
    </row>
    <row r="15" spans="1:17">
      <c r="I15" s="20">
        <v>5</v>
      </c>
      <c r="J15" s="21">
        <v>47</v>
      </c>
      <c r="K15" s="21">
        <v>46</v>
      </c>
      <c r="L15" s="21">
        <v>45</v>
      </c>
      <c r="M15" s="21">
        <v>44</v>
      </c>
      <c r="N15" s="21">
        <v>43</v>
      </c>
      <c r="O15" s="21">
        <v>42</v>
      </c>
      <c r="P15" s="21">
        <v>41</v>
      </c>
      <c r="Q15" s="21">
        <v>40</v>
      </c>
    </row>
    <row r="16" spans="1:17">
      <c r="I16" s="20">
        <v>6</v>
      </c>
      <c r="J16" s="21">
        <v>55</v>
      </c>
      <c r="K16" s="21">
        <v>54</v>
      </c>
      <c r="L16" s="21">
        <v>53</v>
      </c>
      <c r="M16" s="21">
        <v>52</v>
      </c>
      <c r="N16" s="21">
        <v>51</v>
      </c>
      <c r="O16" s="21">
        <v>50</v>
      </c>
      <c r="P16" s="21">
        <v>49</v>
      </c>
      <c r="Q16" s="21">
        <v>48</v>
      </c>
    </row>
    <row r="17" spans="9:17">
      <c r="I17" s="20">
        <v>7</v>
      </c>
      <c r="J17" s="21">
        <v>63</v>
      </c>
      <c r="K17" s="21">
        <v>62</v>
      </c>
      <c r="L17" s="21">
        <v>61</v>
      </c>
      <c r="M17" s="21">
        <v>60</v>
      </c>
      <c r="N17" s="21">
        <v>59</v>
      </c>
      <c r="O17" s="21">
        <v>58</v>
      </c>
      <c r="P17" s="21">
        <v>57</v>
      </c>
      <c r="Q17" s="21">
        <v>56</v>
      </c>
    </row>
    <row r="18" spans="9:17">
      <c r="I18" s="20">
        <v>8</v>
      </c>
      <c r="J18" s="21">
        <v>71</v>
      </c>
      <c r="K18" s="21">
        <v>70</v>
      </c>
      <c r="L18" s="21">
        <v>69</v>
      </c>
      <c r="M18" s="21">
        <v>68</v>
      </c>
      <c r="N18" s="22">
        <v>67</v>
      </c>
      <c r="O18" s="21">
        <v>66</v>
      </c>
      <c r="P18" s="21">
        <v>65</v>
      </c>
      <c r="Q18" s="21">
        <v>64</v>
      </c>
    </row>
    <row r="19" spans="9:17">
      <c r="I19" s="20">
        <v>9</v>
      </c>
      <c r="J19" s="21">
        <v>79</v>
      </c>
      <c r="K19" s="21">
        <v>78</v>
      </c>
      <c r="L19" s="21">
        <v>77</v>
      </c>
      <c r="M19" s="21">
        <v>76</v>
      </c>
      <c r="N19" s="21">
        <v>75</v>
      </c>
      <c r="O19" s="21">
        <v>74</v>
      </c>
      <c r="P19" s="21">
        <v>73</v>
      </c>
      <c r="Q19" s="21">
        <v>72</v>
      </c>
    </row>
    <row r="20" spans="9:17">
      <c r="I20" s="20">
        <v>10</v>
      </c>
      <c r="J20" s="21">
        <v>87</v>
      </c>
      <c r="K20" s="21">
        <v>86</v>
      </c>
      <c r="L20" s="21">
        <v>85</v>
      </c>
      <c r="M20" s="21">
        <v>84</v>
      </c>
      <c r="N20" s="21">
        <v>83</v>
      </c>
      <c r="O20" s="21">
        <v>82</v>
      </c>
      <c r="P20" s="21">
        <v>81</v>
      </c>
      <c r="Q20" s="21">
        <v>80</v>
      </c>
    </row>
    <row r="21" spans="9:17">
      <c r="I21" s="20">
        <v>11</v>
      </c>
      <c r="J21" s="21">
        <v>95</v>
      </c>
      <c r="K21" s="21">
        <v>94</v>
      </c>
      <c r="L21" s="21">
        <v>93</v>
      </c>
      <c r="M21" s="21">
        <v>92</v>
      </c>
      <c r="N21" s="21">
        <v>91</v>
      </c>
      <c r="O21" s="21">
        <v>90</v>
      </c>
      <c r="P21" s="21">
        <v>89</v>
      </c>
      <c r="Q21" s="21">
        <v>88</v>
      </c>
    </row>
    <row r="22" spans="9:17">
      <c r="I22" s="20">
        <v>12</v>
      </c>
      <c r="J22" s="21">
        <v>103</v>
      </c>
      <c r="K22" s="21">
        <v>102</v>
      </c>
      <c r="L22" s="21">
        <v>101</v>
      </c>
      <c r="M22" s="21">
        <v>100</v>
      </c>
      <c r="N22" s="21">
        <v>99</v>
      </c>
      <c r="O22" s="21">
        <v>98</v>
      </c>
      <c r="P22" s="21">
        <v>97</v>
      </c>
      <c r="Q22" s="21">
        <v>96</v>
      </c>
    </row>
    <row r="23" spans="9:17">
      <c r="I23" s="20">
        <v>13</v>
      </c>
      <c r="J23" s="21">
        <v>111</v>
      </c>
      <c r="K23" s="21">
        <v>110</v>
      </c>
      <c r="L23" s="21">
        <v>109</v>
      </c>
      <c r="M23" s="21">
        <v>108</v>
      </c>
      <c r="N23" s="21">
        <v>107</v>
      </c>
      <c r="O23" s="21">
        <v>106</v>
      </c>
      <c r="P23" s="21">
        <v>105</v>
      </c>
      <c r="Q23" s="21">
        <v>104</v>
      </c>
    </row>
    <row r="24" spans="9:17">
      <c r="I24" s="20">
        <v>14</v>
      </c>
      <c r="J24" s="21">
        <v>119</v>
      </c>
      <c r="K24" s="21">
        <v>118</v>
      </c>
      <c r="L24" s="21">
        <v>117</v>
      </c>
      <c r="M24" s="21">
        <v>116</v>
      </c>
      <c r="N24" s="21">
        <v>115</v>
      </c>
      <c r="O24" s="21">
        <v>114</v>
      </c>
      <c r="P24" s="21">
        <v>113</v>
      </c>
      <c r="Q24" s="21">
        <v>112</v>
      </c>
    </row>
    <row r="25" spans="9:17">
      <c r="I25" s="20">
        <v>15</v>
      </c>
      <c r="J25" s="21">
        <v>127</v>
      </c>
      <c r="K25" s="21">
        <v>126</v>
      </c>
      <c r="L25" s="21">
        <v>125</v>
      </c>
      <c r="M25" s="21">
        <v>124</v>
      </c>
      <c r="N25" s="21">
        <v>123</v>
      </c>
      <c r="O25" s="21">
        <v>122</v>
      </c>
      <c r="P25" s="21">
        <v>121</v>
      </c>
      <c r="Q25" s="21">
        <v>120</v>
      </c>
    </row>
    <row r="26" spans="9:17">
      <c r="I26" s="20">
        <v>16</v>
      </c>
      <c r="J26" s="21">
        <v>135</v>
      </c>
      <c r="K26" s="21">
        <v>134</v>
      </c>
      <c r="L26" s="21">
        <v>133</v>
      </c>
      <c r="M26" s="21">
        <v>132</v>
      </c>
      <c r="N26" s="21">
        <v>131</v>
      </c>
      <c r="O26" s="21">
        <v>130</v>
      </c>
      <c r="P26" s="21">
        <v>129</v>
      </c>
      <c r="Q26" s="21">
        <v>128</v>
      </c>
    </row>
    <row r="27" spans="9:17">
      <c r="I27" s="20">
        <v>17</v>
      </c>
      <c r="J27" s="21">
        <v>143</v>
      </c>
      <c r="K27" s="21">
        <v>142</v>
      </c>
      <c r="L27" s="21">
        <v>141</v>
      </c>
      <c r="M27" s="21">
        <v>140</v>
      </c>
      <c r="N27" s="21">
        <v>139</v>
      </c>
      <c r="O27" s="21">
        <v>138</v>
      </c>
      <c r="P27" s="21">
        <v>137</v>
      </c>
      <c r="Q27" s="21">
        <v>136</v>
      </c>
    </row>
    <row r="28" spans="9:17">
      <c r="I28" s="20">
        <v>18</v>
      </c>
      <c r="J28" s="21">
        <v>151</v>
      </c>
      <c r="K28" s="21">
        <v>150</v>
      </c>
      <c r="L28" s="21">
        <v>149</v>
      </c>
      <c r="M28" s="21">
        <v>148</v>
      </c>
      <c r="N28" s="21">
        <v>147</v>
      </c>
      <c r="O28" s="21">
        <v>146</v>
      </c>
      <c r="P28" s="21">
        <v>145</v>
      </c>
      <c r="Q28" s="21">
        <v>144</v>
      </c>
    </row>
    <row r="29" spans="9:17">
      <c r="I29" s="20">
        <v>19</v>
      </c>
      <c r="J29" s="21">
        <v>159</v>
      </c>
      <c r="K29" s="21">
        <v>158</v>
      </c>
      <c r="L29" s="21">
        <v>157</v>
      </c>
      <c r="M29" s="21">
        <v>156</v>
      </c>
      <c r="N29" s="21">
        <v>155</v>
      </c>
      <c r="O29" s="21">
        <v>154</v>
      </c>
      <c r="P29" s="21">
        <v>153</v>
      </c>
      <c r="Q29" s="21">
        <v>152</v>
      </c>
    </row>
  </sheetData>
  <phoneticPr fontId="2" type="noConversion"/>
  <hyperlinks>
    <hyperlink ref="A1" location="목차!A1" display="HOME" xr:uid="{5B60AD62-E119-4A5D-9930-804BEE485C14}"/>
  </hyperlink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F56B0-8C5E-4E71-A9CD-57B2668A288C}">
  <dimension ref="A1"/>
  <sheetViews>
    <sheetView workbookViewId="0"/>
  </sheetViews>
  <sheetFormatPr defaultRowHeight="17.399999999999999"/>
  <sheetData>
    <row r="1" spans="1:1" ht="18" thickBot="1">
      <c r="A1" s="19" t="s">
        <v>64</v>
      </c>
    </row>
  </sheetData>
  <phoneticPr fontId="2" type="noConversion"/>
  <hyperlinks>
    <hyperlink ref="A1" location="목차!A1" display="HOME" xr:uid="{F0DFFDCF-5A39-49A9-B444-A23D221581F5}"/>
  </hyperlink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5693E-DA4B-4C42-96ED-9429814F047D}">
  <dimension ref="A1:AY146"/>
  <sheetViews>
    <sheetView workbookViewId="0">
      <selection activeCell="BF14" sqref="BF14"/>
    </sheetView>
  </sheetViews>
  <sheetFormatPr defaultColWidth="4.3984375" defaultRowHeight="17.399999999999999"/>
  <cols>
    <col min="1" max="1" width="7.09765625" style="2" bestFit="1" customWidth="1"/>
    <col min="2" max="4" width="4.3984375" style="2"/>
    <col min="5" max="35" width="3" style="2" customWidth="1"/>
    <col min="36" max="36" width="4.3984375" style="2"/>
    <col min="37" max="102" width="3" style="2" customWidth="1"/>
    <col min="103" max="16384" width="4.3984375" style="2"/>
  </cols>
  <sheetData>
    <row r="1" spans="1:38" ht="18" thickBot="1">
      <c r="A1" s="19" t="s">
        <v>64</v>
      </c>
    </row>
    <row r="2" spans="1:38">
      <c r="E2" s="132">
        <v>0</v>
      </c>
      <c r="F2" s="132">
        <v>1</v>
      </c>
      <c r="G2" s="132">
        <v>2</v>
      </c>
      <c r="H2" s="132">
        <v>3</v>
      </c>
      <c r="I2" s="132">
        <v>4</v>
      </c>
      <c r="J2" s="132">
        <v>5</v>
      </c>
      <c r="K2" s="132">
        <v>6</v>
      </c>
      <c r="L2" s="132">
        <v>7</v>
      </c>
      <c r="M2" s="132">
        <v>8</v>
      </c>
      <c r="N2" s="132">
        <v>9</v>
      </c>
      <c r="O2" s="132">
        <v>10</v>
      </c>
      <c r="P2" s="132">
        <v>11</v>
      </c>
      <c r="Q2" s="132">
        <v>12</v>
      </c>
      <c r="R2" s="132">
        <v>13</v>
      </c>
      <c r="S2" s="132">
        <v>14</v>
      </c>
      <c r="T2" s="132">
        <v>15</v>
      </c>
      <c r="U2" s="132">
        <v>16</v>
      </c>
      <c r="V2" s="132">
        <v>17</v>
      </c>
      <c r="W2" s="132">
        <v>18</v>
      </c>
      <c r="X2" s="132">
        <v>19</v>
      </c>
      <c r="Y2" s="132">
        <v>20</v>
      </c>
      <c r="Z2" s="132">
        <v>21</v>
      </c>
      <c r="AA2" s="132">
        <v>22</v>
      </c>
      <c r="AB2" s="132">
        <v>23</v>
      </c>
      <c r="AC2" s="132">
        <v>24</v>
      </c>
      <c r="AD2" s="132">
        <v>25</v>
      </c>
      <c r="AE2" s="132">
        <v>26</v>
      </c>
      <c r="AF2" s="132"/>
      <c r="AG2" s="132"/>
      <c r="AH2" s="132"/>
      <c r="AI2" s="132"/>
      <c r="AK2" s="132"/>
      <c r="AL2" s="132"/>
    </row>
    <row r="3" spans="1:38">
      <c r="B3" s="2">
        <v>4</v>
      </c>
      <c r="D3" s="132">
        <v>0</v>
      </c>
      <c r="E3" s="2" t="s">
        <v>172</v>
      </c>
      <c r="F3" s="2" t="s">
        <v>272</v>
      </c>
      <c r="G3" s="2" t="s">
        <v>272</v>
      </c>
      <c r="H3" s="2" t="s">
        <v>272</v>
      </c>
      <c r="I3" s="133" t="s">
        <v>172</v>
      </c>
      <c r="J3" s="2" t="s">
        <v>272</v>
      </c>
      <c r="K3" s="2" t="s">
        <v>273</v>
      </c>
      <c r="L3" s="2" t="s">
        <v>272</v>
      </c>
      <c r="M3" s="2" t="s">
        <v>272</v>
      </c>
      <c r="N3" s="2" t="s">
        <v>172</v>
      </c>
      <c r="O3" s="2" t="s">
        <v>274</v>
      </c>
      <c r="P3" s="2" t="s">
        <v>274</v>
      </c>
      <c r="Q3" s="2" t="s">
        <v>272</v>
      </c>
    </row>
    <row r="4" spans="1:38">
      <c r="B4" s="2">
        <v>17</v>
      </c>
      <c r="D4" s="132">
        <v>1</v>
      </c>
      <c r="E4" s="2" t="s">
        <v>272</v>
      </c>
      <c r="F4" s="2" t="s">
        <v>273</v>
      </c>
      <c r="G4" s="2" t="s">
        <v>172</v>
      </c>
      <c r="H4" s="2" t="s">
        <v>273</v>
      </c>
      <c r="I4" s="2" t="s">
        <v>272</v>
      </c>
      <c r="J4" s="2" t="s">
        <v>272</v>
      </c>
      <c r="K4" s="2" t="s">
        <v>273</v>
      </c>
      <c r="L4" s="2" t="s">
        <v>272</v>
      </c>
      <c r="M4" s="2" t="s">
        <v>172</v>
      </c>
      <c r="N4" s="2" t="s">
        <v>272</v>
      </c>
      <c r="O4" s="2" t="s">
        <v>272</v>
      </c>
      <c r="P4" s="2" t="s">
        <v>172</v>
      </c>
      <c r="Q4" s="2" t="s">
        <v>272</v>
      </c>
      <c r="R4" s="2" t="s">
        <v>272</v>
      </c>
      <c r="S4" s="2" t="s">
        <v>172</v>
      </c>
      <c r="T4" s="2" t="s">
        <v>272</v>
      </c>
      <c r="U4" s="2" t="s">
        <v>272</v>
      </c>
      <c r="V4" s="133" t="s">
        <v>172</v>
      </c>
      <c r="W4" s="2" t="s">
        <v>272</v>
      </c>
      <c r="X4" s="2" t="s">
        <v>273</v>
      </c>
      <c r="Y4" s="2" t="s">
        <v>272</v>
      </c>
      <c r="Z4" s="2" t="s">
        <v>272</v>
      </c>
      <c r="AA4" s="2" t="s">
        <v>172</v>
      </c>
      <c r="AB4" s="2" t="s">
        <v>274</v>
      </c>
      <c r="AC4" s="2" t="s">
        <v>274</v>
      </c>
      <c r="AD4" s="2" t="s">
        <v>272</v>
      </c>
    </row>
    <row r="5" spans="1:38">
      <c r="B5" s="2">
        <v>8</v>
      </c>
      <c r="D5" s="132">
        <v>2</v>
      </c>
      <c r="E5" s="2" t="s">
        <v>272</v>
      </c>
      <c r="F5" s="2" t="s">
        <v>272</v>
      </c>
      <c r="G5" s="2" t="s">
        <v>273</v>
      </c>
      <c r="H5" s="2" t="s">
        <v>172</v>
      </c>
      <c r="I5" s="2" t="s">
        <v>274</v>
      </c>
      <c r="J5" s="2" t="s">
        <v>172</v>
      </c>
      <c r="K5" s="2" t="s">
        <v>272</v>
      </c>
      <c r="L5" s="2" t="s">
        <v>272</v>
      </c>
      <c r="M5" s="133" t="s">
        <v>172</v>
      </c>
      <c r="N5" s="2" t="s">
        <v>272</v>
      </c>
      <c r="O5" s="2" t="s">
        <v>273</v>
      </c>
      <c r="P5" s="2" t="s">
        <v>272</v>
      </c>
      <c r="Q5" s="2" t="s">
        <v>272</v>
      </c>
      <c r="R5" s="2" t="s">
        <v>172</v>
      </c>
      <c r="S5" s="2" t="s">
        <v>274</v>
      </c>
      <c r="T5" s="2" t="s">
        <v>274</v>
      </c>
      <c r="U5" s="2" t="s">
        <v>272</v>
      </c>
    </row>
    <row r="6" spans="1:38">
      <c r="B6" s="2">
        <v>7</v>
      </c>
      <c r="D6" s="132">
        <v>3</v>
      </c>
      <c r="E6" s="2" t="s">
        <v>272</v>
      </c>
      <c r="F6" s="2" t="s">
        <v>274</v>
      </c>
      <c r="G6" s="2" t="s">
        <v>274</v>
      </c>
      <c r="H6" s="2" t="s">
        <v>172</v>
      </c>
      <c r="I6" s="2" t="s">
        <v>172</v>
      </c>
      <c r="J6" s="2" t="s">
        <v>272</v>
      </c>
      <c r="K6" s="2" t="s">
        <v>272</v>
      </c>
      <c r="L6" s="133" t="s">
        <v>172</v>
      </c>
      <c r="M6" s="2" t="s">
        <v>272</v>
      </c>
      <c r="N6" s="2" t="s">
        <v>273</v>
      </c>
      <c r="O6" s="2" t="s">
        <v>272</v>
      </c>
      <c r="P6" s="2" t="s">
        <v>272</v>
      </c>
      <c r="Q6" s="2" t="s">
        <v>172</v>
      </c>
      <c r="R6" s="2" t="s">
        <v>274</v>
      </c>
      <c r="S6" s="2" t="s">
        <v>274</v>
      </c>
      <c r="T6" s="2" t="s">
        <v>272</v>
      </c>
    </row>
    <row r="7" spans="1:38">
      <c r="B7" s="2">
        <v>5</v>
      </c>
      <c r="D7" s="132">
        <v>4</v>
      </c>
      <c r="E7" s="2" t="s">
        <v>272</v>
      </c>
      <c r="F7" s="2" t="s">
        <v>275</v>
      </c>
      <c r="G7" s="2" t="s">
        <v>172</v>
      </c>
      <c r="H7" s="2" t="s">
        <v>272</v>
      </c>
      <c r="I7" s="2" t="s">
        <v>272</v>
      </c>
      <c r="J7" s="133" t="s">
        <v>172</v>
      </c>
      <c r="K7" s="2" t="s">
        <v>272</v>
      </c>
      <c r="L7" s="2" t="s">
        <v>273</v>
      </c>
      <c r="M7" s="2" t="s">
        <v>272</v>
      </c>
      <c r="N7" s="2" t="s">
        <v>272</v>
      </c>
      <c r="O7" s="2" t="s">
        <v>172</v>
      </c>
      <c r="P7" s="2" t="s">
        <v>274</v>
      </c>
      <c r="Q7" s="2" t="s">
        <v>274</v>
      </c>
      <c r="R7" s="2" t="s">
        <v>272</v>
      </c>
    </row>
    <row r="8" spans="1:38">
      <c r="B8" s="2">
        <v>11</v>
      </c>
      <c r="D8" s="132">
        <v>5</v>
      </c>
      <c r="E8" s="2" t="s">
        <v>272</v>
      </c>
      <c r="F8" s="2" t="s">
        <v>272</v>
      </c>
      <c r="G8" s="2" t="s">
        <v>273</v>
      </c>
      <c r="H8" s="2" t="s">
        <v>172</v>
      </c>
      <c r="I8" s="2" t="s">
        <v>274</v>
      </c>
      <c r="J8" s="2" t="s">
        <v>172</v>
      </c>
      <c r="K8" s="2" t="s">
        <v>272</v>
      </c>
      <c r="L8" s="2" t="s">
        <v>272</v>
      </c>
      <c r="M8" s="2" t="s">
        <v>172</v>
      </c>
      <c r="N8" s="2" t="s">
        <v>272</v>
      </c>
      <c r="O8" s="2" t="s">
        <v>272</v>
      </c>
      <c r="P8" s="133" t="s">
        <v>172</v>
      </c>
      <c r="Q8" s="2" t="s">
        <v>272</v>
      </c>
      <c r="R8" s="2" t="s">
        <v>273</v>
      </c>
      <c r="S8" s="2" t="s">
        <v>272</v>
      </c>
      <c r="T8" s="2" t="s">
        <v>272</v>
      </c>
      <c r="U8" s="2" t="s">
        <v>172</v>
      </c>
      <c r="V8" s="2" t="s">
        <v>274</v>
      </c>
      <c r="W8" s="2" t="s">
        <v>274</v>
      </c>
      <c r="X8" s="2" t="s">
        <v>272</v>
      </c>
    </row>
    <row r="9" spans="1:38">
      <c r="B9" s="2">
        <v>10</v>
      </c>
      <c r="D9" s="132">
        <v>6</v>
      </c>
      <c r="E9" s="2" t="s">
        <v>272</v>
      </c>
      <c r="F9" s="2" t="s">
        <v>274</v>
      </c>
      <c r="G9" s="2" t="s">
        <v>274</v>
      </c>
      <c r="H9" s="2" t="s">
        <v>172</v>
      </c>
      <c r="I9" s="2" t="s">
        <v>172</v>
      </c>
      <c r="J9" s="2" t="s">
        <v>272</v>
      </c>
      <c r="K9" s="2" t="s">
        <v>272</v>
      </c>
      <c r="L9" s="2" t="s">
        <v>172</v>
      </c>
      <c r="M9" s="2" t="s">
        <v>272</v>
      </c>
      <c r="N9" s="2" t="s">
        <v>272</v>
      </c>
      <c r="O9" s="133" t="s">
        <v>172</v>
      </c>
      <c r="P9" s="2" t="s">
        <v>272</v>
      </c>
      <c r="Q9" s="2" t="s">
        <v>273</v>
      </c>
      <c r="R9" s="2" t="s">
        <v>272</v>
      </c>
      <c r="S9" s="2" t="s">
        <v>272</v>
      </c>
      <c r="T9" s="2" t="s">
        <v>172</v>
      </c>
      <c r="U9" s="2" t="s">
        <v>274</v>
      </c>
      <c r="V9" s="2" t="s">
        <v>274</v>
      </c>
      <c r="W9" s="2" t="s">
        <v>272</v>
      </c>
    </row>
    <row r="10" spans="1:38">
      <c r="B10" s="2">
        <v>3</v>
      </c>
      <c r="D10" s="132">
        <v>7</v>
      </c>
      <c r="E10" s="2" t="s">
        <v>273</v>
      </c>
      <c r="F10" s="2" t="s">
        <v>272</v>
      </c>
      <c r="G10" s="2" t="s">
        <v>272</v>
      </c>
      <c r="H10" s="133" t="s">
        <v>172</v>
      </c>
      <c r="I10" s="2" t="s">
        <v>272</v>
      </c>
      <c r="J10" s="2" t="s">
        <v>272</v>
      </c>
      <c r="K10" s="2" t="s">
        <v>172</v>
      </c>
      <c r="L10" s="2" t="s">
        <v>274</v>
      </c>
      <c r="M10" s="2" t="s">
        <v>274</v>
      </c>
      <c r="N10" s="2" t="s">
        <v>272</v>
      </c>
    </row>
    <row r="11" spans="1:38">
      <c r="B11" s="2">
        <v>11</v>
      </c>
      <c r="D11" s="132">
        <v>8</v>
      </c>
      <c r="E11" s="2" t="s">
        <v>273</v>
      </c>
      <c r="F11" s="2" t="s">
        <v>272</v>
      </c>
      <c r="G11" s="2" t="s">
        <v>172</v>
      </c>
      <c r="H11" s="2" t="s">
        <v>272</v>
      </c>
      <c r="I11" s="2" t="s">
        <v>273</v>
      </c>
      <c r="J11" s="2" t="s">
        <v>172</v>
      </c>
      <c r="K11" s="2" t="s">
        <v>272</v>
      </c>
      <c r="L11" s="2" t="s">
        <v>172</v>
      </c>
      <c r="M11" s="2" t="s">
        <v>172</v>
      </c>
      <c r="N11" s="2" t="s">
        <v>272</v>
      </c>
      <c r="O11" s="2" t="s">
        <v>272</v>
      </c>
      <c r="P11" s="133" t="s">
        <v>172</v>
      </c>
      <c r="Q11" s="2" t="s">
        <v>272</v>
      </c>
      <c r="R11" s="2" t="s">
        <v>273</v>
      </c>
      <c r="S11" s="2" t="s">
        <v>272</v>
      </c>
      <c r="T11" s="2" t="s">
        <v>272</v>
      </c>
      <c r="U11" s="2" t="s">
        <v>172</v>
      </c>
      <c r="V11" s="2" t="s">
        <v>274</v>
      </c>
      <c r="W11" s="2" t="s">
        <v>274</v>
      </c>
      <c r="X11" s="2" t="s">
        <v>272</v>
      </c>
    </row>
    <row r="12" spans="1:38">
      <c r="B12" s="2">
        <v>13</v>
      </c>
      <c r="D12" s="132">
        <v>9</v>
      </c>
      <c r="E12" s="2" t="s">
        <v>172</v>
      </c>
      <c r="F12" s="2" t="s">
        <v>272</v>
      </c>
      <c r="G12" s="2" t="s">
        <v>272</v>
      </c>
      <c r="H12" s="2" t="s">
        <v>272</v>
      </c>
      <c r="I12" s="2" t="s">
        <v>172</v>
      </c>
      <c r="J12" s="2" t="s">
        <v>272</v>
      </c>
      <c r="K12" s="2" t="s">
        <v>272</v>
      </c>
      <c r="L12" s="2" t="s">
        <v>172</v>
      </c>
      <c r="M12" s="2" t="s">
        <v>272</v>
      </c>
      <c r="N12" s="2" t="s">
        <v>172</v>
      </c>
      <c r="O12" s="2" t="s">
        <v>272</v>
      </c>
      <c r="P12" s="2" t="s">
        <v>272</v>
      </c>
      <c r="Q12" s="2" t="s">
        <v>272</v>
      </c>
      <c r="R12" s="133" t="s">
        <v>172</v>
      </c>
      <c r="S12" s="2" t="s">
        <v>272</v>
      </c>
      <c r="T12" s="2" t="s">
        <v>273</v>
      </c>
      <c r="U12" s="2" t="s">
        <v>272</v>
      </c>
      <c r="V12" s="2" t="s">
        <v>272</v>
      </c>
      <c r="W12" s="2" t="s">
        <v>172</v>
      </c>
      <c r="X12" s="2" t="s">
        <v>274</v>
      </c>
      <c r="Y12" s="2" t="s">
        <v>274</v>
      </c>
      <c r="Z12" s="2" t="s">
        <v>272</v>
      </c>
    </row>
    <row r="13" spans="1:38">
      <c r="B13" s="2">
        <v>13</v>
      </c>
      <c r="D13" s="132">
        <v>10</v>
      </c>
      <c r="E13" s="2" t="s">
        <v>172</v>
      </c>
      <c r="F13" s="2" t="s">
        <v>272</v>
      </c>
      <c r="G13" s="2" t="s">
        <v>272</v>
      </c>
      <c r="H13" s="2" t="s">
        <v>272</v>
      </c>
      <c r="I13" s="2" t="s">
        <v>172</v>
      </c>
      <c r="J13" s="2" t="s">
        <v>272</v>
      </c>
      <c r="K13" s="2" t="s">
        <v>272</v>
      </c>
      <c r="L13" s="2" t="s">
        <v>272</v>
      </c>
      <c r="M13" s="2" t="s">
        <v>172</v>
      </c>
      <c r="N13" s="2" t="s">
        <v>272</v>
      </c>
      <c r="O13" s="2" t="s">
        <v>172</v>
      </c>
      <c r="P13" s="2" t="s">
        <v>272</v>
      </c>
      <c r="Q13" s="2" t="s">
        <v>272</v>
      </c>
      <c r="R13" s="133" t="s">
        <v>172</v>
      </c>
      <c r="S13" s="2" t="s">
        <v>272</v>
      </c>
      <c r="T13" s="2" t="s">
        <v>172</v>
      </c>
      <c r="U13" s="2" t="s">
        <v>272</v>
      </c>
      <c r="V13" s="2" t="s">
        <v>272</v>
      </c>
      <c r="W13" s="2" t="s">
        <v>172</v>
      </c>
      <c r="X13" s="2" t="s">
        <v>274</v>
      </c>
      <c r="Y13" s="2" t="s">
        <v>274</v>
      </c>
      <c r="Z13" s="2" t="s">
        <v>272</v>
      </c>
    </row>
    <row r="14" spans="1:38">
      <c r="B14" s="2">
        <v>15</v>
      </c>
      <c r="D14" s="132">
        <v>11</v>
      </c>
      <c r="E14" s="2" t="s">
        <v>272</v>
      </c>
      <c r="F14" s="2" t="s">
        <v>272</v>
      </c>
      <c r="G14" s="2" t="s">
        <v>273</v>
      </c>
      <c r="H14" s="2" t="s">
        <v>172</v>
      </c>
      <c r="I14" s="2" t="s">
        <v>272</v>
      </c>
      <c r="J14" s="2" t="s">
        <v>272</v>
      </c>
      <c r="K14" s="2" t="s">
        <v>172</v>
      </c>
      <c r="L14" s="2" t="s">
        <v>272</v>
      </c>
      <c r="M14" s="2" t="s">
        <v>272</v>
      </c>
      <c r="N14" s="2" t="s">
        <v>172</v>
      </c>
      <c r="O14" s="2" t="s">
        <v>272</v>
      </c>
      <c r="P14" s="2" t="s">
        <v>272</v>
      </c>
      <c r="Q14" s="2" t="s">
        <v>172</v>
      </c>
      <c r="R14" s="2" t="s">
        <v>272</v>
      </c>
      <c r="S14" s="2" t="s">
        <v>272</v>
      </c>
      <c r="T14" s="133" t="s">
        <v>172</v>
      </c>
      <c r="U14" s="2" t="s">
        <v>272</v>
      </c>
      <c r="V14" s="2" t="s">
        <v>273</v>
      </c>
      <c r="W14" s="2" t="s">
        <v>272</v>
      </c>
      <c r="X14" s="2" t="s">
        <v>272</v>
      </c>
      <c r="Y14" s="2" t="s">
        <v>172</v>
      </c>
      <c r="Z14" s="2" t="s">
        <v>274</v>
      </c>
      <c r="AA14" s="2" t="s">
        <v>274</v>
      </c>
      <c r="AB14" s="2" t="s">
        <v>272</v>
      </c>
    </row>
    <row r="15" spans="1:38">
      <c r="B15" s="2">
        <v>11</v>
      </c>
      <c r="D15" s="132">
        <v>12</v>
      </c>
      <c r="E15" s="2" t="s">
        <v>172</v>
      </c>
      <c r="F15" s="2" t="s">
        <v>272</v>
      </c>
      <c r="G15" s="2" t="s">
        <v>272</v>
      </c>
      <c r="H15" s="2" t="s">
        <v>272</v>
      </c>
      <c r="I15" s="2" t="s">
        <v>275</v>
      </c>
      <c r="J15" s="2" t="s">
        <v>172</v>
      </c>
      <c r="K15" s="2" t="s">
        <v>272</v>
      </c>
      <c r="L15" s="2" t="s">
        <v>272</v>
      </c>
      <c r="M15" s="2" t="s">
        <v>172</v>
      </c>
      <c r="N15" s="2" t="s">
        <v>272</v>
      </c>
      <c r="O15" s="2" t="s">
        <v>272</v>
      </c>
      <c r="P15" s="133" t="s">
        <v>172</v>
      </c>
      <c r="Q15" s="2" t="s">
        <v>272</v>
      </c>
      <c r="R15" s="2" t="s">
        <v>273</v>
      </c>
      <c r="S15" s="2" t="s">
        <v>272</v>
      </c>
      <c r="T15" s="2" t="s">
        <v>272</v>
      </c>
      <c r="U15" s="2" t="s">
        <v>172</v>
      </c>
      <c r="V15" s="2" t="s">
        <v>274</v>
      </c>
      <c r="W15" s="2" t="s">
        <v>274</v>
      </c>
      <c r="X15" s="2" t="s">
        <v>272</v>
      </c>
    </row>
    <row r="16" spans="1:38">
      <c r="B16" s="2">
        <v>3</v>
      </c>
      <c r="D16" s="132">
        <v>13</v>
      </c>
      <c r="E16" s="2" t="s">
        <v>172</v>
      </c>
      <c r="F16" s="2" t="s">
        <v>272</v>
      </c>
      <c r="G16" s="2" t="s">
        <v>272</v>
      </c>
      <c r="H16" s="133" t="s">
        <v>172</v>
      </c>
      <c r="I16" s="2" t="s">
        <v>272</v>
      </c>
      <c r="J16" s="2" t="s">
        <v>273</v>
      </c>
      <c r="K16" s="2" t="s">
        <v>272</v>
      </c>
      <c r="L16" s="2" t="s">
        <v>272</v>
      </c>
      <c r="M16" s="2" t="s">
        <v>172</v>
      </c>
      <c r="N16" s="2" t="s">
        <v>274</v>
      </c>
      <c r="O16" s="2" t="s">
        <v>274</v>
      </c>
      <c r="P16" s="2" t="s">
        <v>272</v>
      </c>
    </row>
    <row r="17" spans="2:22">
      <c r="B17" s="2">
        <v>11</v>
      </c>
      <c r="D17" s="132">
        <v>14</v>
      </c>
      <c r="E17" s="2" t="s">
        <v>273</v>
      </c>
      <c r="F17" s="2" t="s">
        <v>272</v>
      </c>
      <c r="G17" s="2" t="s">
        <v>172</v>
      </c>
      <c r="H17" s="2" t="s">
        <v>272</v>
      </c>
      <c r="I17" s="2" t="s">
        <v>272</v>
      </c>
      <c r="J17" s="2" t="s">
        <v>172</v>
      </c>
      <c r="K17" s="2" t="s">
        <v>272</v>
      </c>
      <c r="L17" s="2" t="s">
        <v>272</v>
      </c>
      <c r="M17" s="2" t="s">
        <v>172</v>
      </c>
      <c r="N17" s="2" t="s">
        <v>272</v>
      </c>
      <c r="O17" s="2" t="s">
        <v>272</v>
      </c>
      <c r="P17" s="133" t="s">
        <v>172</v>
      </c>
      <c r="Q17" s="2" t="s">
        <v>272</v>
      </c>
      <c r="R17" s="2" t="s">
        <v>172</v>
      </c>
      <c r="S17" s="2" t="s">
        <v>274</v>
      </c>
      <c r="T17" s="2" t="s">
        <v>274</v>
      </c>
      <c r="U17" s="2" t="s">
        <v>272</v>
      </c>
    </row>
    <row r="18" spans="2:22">
      <c r="B18" s="2">
        <v>5</v>
      </c>
      <c r="D18" s="132">
        <v>15</v>
      </c>
      <c r="E18" s="2" t="s">
        <v>272</v>
      </c>
      <c r="F18" s="2" t="s">
        <v>274</v>
      </c>
      <c r="G18" s="2" t="s">
        <v>172</v>
      </c>
      <c r="H18" s="2" t="s">
        <v>272</v>
      </c>
      <c r="I18" s="2" t="s">
        <v>272</v>
      </c>
      <c r="J18" s="133" t="s">
        <v>172</v>
      </c>
      <c r="K18" s="2" t="s">
        <v>272</v>
      </c>
      <c r="L18" s="2" t="s">
        <v>273</v>
      </c>
      <c r="M18" s="2" t="s">
        <v>272</v>
      </c>
      <c r="N18" s="2" t="s">
        <v>272</v>
      </c>
      <c r="O18" s="2" t="s">
        <v>172</v>
      </c>
      <c r="P18" s="2" t="s">
        <v>274</v>
      </c>
      <c r="Q18" s="2" t="s">
        <v>274</v>
      </c>
      <c r="R18" s="2" t="s">
        <v>272</v>
      </c>
    </row>
    <row r="19" spans="2:22">
      <c r="B19" s="2">
        <v>8</v>
      </c>
      <c r="D19" s="132">
        <v>16</v>
      </c>
      <c r="E19" s="2" t="s">
        <v>172</v>
      </c>
      <c r="F19" s="2" t="s">
        <v>272</v>
      </c>
      <c r="G19" s="2" t="s">
        <v>272</v>
      </c>
      <c r="H19" s="2" t="s">
        <v>272</v>
      </c>
      <c r="I19" s="2" t="s">
        <v>172</v>
      </c>
      <c r="J19" s="2" t="s">
        <v>272</v>
      </c>
      <c r="K19" s="2" t="s">
        <v>274</v>
      </c>
      <c r="L19" s="2" t="s">
        <v>272</v>
      </c>
      <c r="M19" s="133" t="s">
        <v>172</v>
      </c>
      <c r="N19" s="2" t="s">
        <v>272</v>
      </c>
      <c r="O19" s="2" t="s">
        <v>273</v>
      </c>
      <c r="P19" s="2" t="s">
        <v>272</v>
      </c>
      <c r="Q19" s="2" t="s">
        <v>272</v>
      </c>
      <c r="R19" s="2" t="s">
        <v>172</v>
      </c>
      <c r="S19" s="2" t="s">
        <v>274</v>
      </c>
      <c r="T19" s="2" t="s">
        <v>274</v>
      </c>
      <c r="U19" s="2" t="s">
        <v>272</v>
      </c>
    </row>
    <row r="20" spans="2:22">
      <c r="B20" s="2">
        <v>8</v>
      </c>
      <c r="D20" s="132">
        <v>17</v>
      </c>
      <c r="E20" s="2" t="s">
        <v>273</v>
      </c>
      <c r="F20" s="2" t="s">
        <v>272</v>
      </c>
      <c r="G20" s="2" t="s">
        <v>172</v>
      </c>
      <c r="H20" s="2" t="s">
        <v>272</v>
      </c>
      <c r="I20" s="2" t="s">
        <v>172</v>
      </c>
      <c r="J20" s="2" t="s">
        <v>172</v>
      </c>
      <c r="K20" s="2" t="s">
        <v>272</v>
      </c>
      <c r="L20" s="2" t="s">
        <v>272</v>
      </c>
      <c r="M20" s="133" t="s">
        <v>172</v>
      </c>
      <c r="N20" s="2" t="s">
        <v>272</v>
      </c>
      <c r="O20" s="2" t="s">
        <v>273</v>
      </c>
      <c r="P20" s="2" t="s">
        <v>272</v>
      </c>
      <c r="Q20" s="2" t="s">
        <v>272</v>
      </c>
      <c r="R20" s="2" t="s">
        <v>172</v>
      </c>
      <c r="S20" s="2" t="s">
        <v>274</v>
      </c>
      <c r="T20" s="2" t="s">
        <v>274</v>
      </c>
      <c r="U20" s="2" t="s">
        <v>272</v>
      </c>
    </row>
    <row r="21" spans="2:22">
      <c r="B21" s="2">
        <v>5</v>
      </c>
      <c r="D21" s="132">
        <v>18</v>
      </c>
      <c r="E21" s="2" t="s">
        <v>272</v>
      </c>
      <c r="F21" s="2" t="s">
        <v>274</v>
      </c>
      <c r="G21" s="2" t="s">
        <v>172</v>
      </c>
      <c r="H21" s="2" t="s">
        <v>272</v>
      </c>
      <c r="I21" s="2" t="s">
        <v>272</v>
      </c>
      <c r="J21" s="133" t="s">
        <v>172</v>
      </c>
      <c r="K21" s="2" t="s">
        <v>272</v>
      </c>
      <c r="L21" s="2" t="s">
        <v>273</v>
      </c>
      <c r="M21" s="2" t="s">
        <v>272</v>
      </c>
      <c r="N21" s="2" t="s">
        <v>272</v>
      </c>
      <c r="O21" s="2" t="s">
        <v>172</v>
      </c>
      <c r="P21" s="2" t="s">
        <v>274</v>
      </c>
      <c r="Q21" s="2" t="s">
        <v>274</v>
      </c>
      <c r="R21" s="2" t="s">
        <v>272</v>
      </c>
    </row>
    <row r="22" spans="2:22">
      <c r="B22" s="2">
        <v>9</v>
      </c>
      <c r="D22" s="132">
        <v>19</v>
      </c>
      <c r="E22" s="2" t="s">
        <v>172</v>
      </c>
      <c r="F22" s="2" t="s">
        <v>272</v>
      </c>
      <c r="G22" s="2" t="s">
        <v>272</v>
      </c>
      <c r="H22" s="2" t="s">
        <v>272</v>
      </c>
      <c r="I22" s="2" t="s">
        <v>172</v>
      </c>
      <c r="J22" s="2" t="s">
        <v>272</v>
      </c>
      <c r="K22" s="2" t="s">
        <v>272</v>
      </c>
      <c r="L22" s="2" t="s">
        <v>172</v>
      </c>
      <c r="M22" s="2" t="s">
        <v>272</v>
      </c>
      <c r="N22" s="133" t="s">
        <v>172</v>
      </c>
      <c r="O22" s="2" t="s">
        <v>272</v>
      </c>
      <c r="P22" s="2" t="s">
        <v>273</v>
      </c>
      <c r="Q22" s="2" t="s">
        <v>272</v>
      </c>
      <c r="R22" s="2" t="s">
        <v>272</v>
      </c>
      <c r="S22" s="2" t="s">
        <v>172</v>
      </c>
      <c r="T22" s="2" t="s">
        <v>274</v>
      </c>
      <c r="U22" s="2" t="s">
        <v>274</v>
      </c>
      <c r="V22" s="2" t="s">
        <v>272</v>
      </c>
    </row>
    <row r="23" spans="2:22">
      <c r="D23" s="132"/>
    </row>
    <row r="24" spans="2:22">
      <c r="D24" s="132"/>
    </row>
    <row r="25" spans="2:22">
      <c r="D25" s="132"/>
      <c r="U25" s="132"/>
    </row>
    <row r="26" spans="2:22">
      <c r="D26" s="132"/>
      <c r="H26" s="2">
        <v>3</v>
      </c>
      <c r="I26" s="2">
        <v>4</v>
      </c>
      <c r="J26" s="2">
        <v>5</v>
      </c>
      <c r="K26" s="2">
        <v>6</v>
      </c>
      <c r="L26" s="2">
        <v>7</v>
      </c>
      <c r="M26" s="2">
        <v>8</v>
      </c>
    </row>
    <row r="27" spans="2:22">
      <c r="C27" s="2">
        <v>0</v>
      </c>
      <c r="H27" s="134" t="s">
        <v>272</v>
      </c>
      <c r="I27" s="133" t="s">
        <v>172</v>
      </c>
      <c r="J27" s="2" t="s">
        <v>272</v>
      </c>
      <c r="K27" s="2" t="s">
        <v>273</v>
      </c>
      <c r="L27" s="2" t="s">
        <v>272</v>
      </c>
      <c r="M27" s="134" t="s">
        <v>272</v>
      </c>
    </row>
    <row r="28" spans="2:22">
      <c r="H28" s="134" t="s">
        <v>272</v>
      </c>
      <c r="I28" s="2" t="s">
        <v>272</v>
      </c>
      <c r="J28" s="2" t="s">
        <v>172</v>
      </c>
      <c r="K28" s="134" t="s">
        <v>274</v>
      </c>
      <c r="L28" s="2" t="s">
        <v>274</v>
      </c>
      <c r="M28" s="134" t="s">
        <v>172</v>
      </c>
    </row>
    <row r="29" spans="2:22">
      <c r="K29" s="2" t="s">
        <v>272</v>
      </c>
    </row>
    <row r="31" spans="2:22">
      <c r="E31" s="2">
        <v>13</v>
      </c>
      <c r="F31" s="2">
        <v>14</v>
      </c>
      <c r="G31" s="2">
        <v>15</v>
      </c>
      <c r="H31" s="2">
        <v>16</v>
      </c>
      <c r="I31" s="2">
        <v>17</v>
      </c>
      <c r="J31" s="2">
        <v>18</v>
      </c>
      <c r="K31" s="2">
        <v>19</v>
      </c>
      <c r="L31" s="2">
        <v>20</v>
      </c>
      <c r="M31" s="2">
        <v>21</v>
      </c>
      <c r="N31" s="2">
        <v>22</v>
      </c>
    </row>
    <row r="32" spans="2:22">
      <c r="C32" s="2">
        <v>1</v>
      </c>
      <c r="E32" s="134" t="s">
        <v>272</v>
      </c>
      <c r="F32" s="2" t="s">
        <v>172</v>
      </c>
      <c r="G32" s="2" t="s">
        <v>272</v>
      </c>
      <c r="H32" s="2" t="s">
        <v>272</v>
      </c>
      <c r="I32" s="133" t="s">
        <v>172</v>
      </c>
      <c r="J32" s="2" t="s">
        <v>272</v>
      </c>
      <c r="K32" s="2" t="s">
        <v>273</v>
      </c>
      <c r="L32" s="2" t="s">
        <v>272</v>
      </c>
      <c r="M32" s="2" t="s">
        <v>272</v>
      </c>
      <c r="N32" s="134" t="s">
        <v>172</v>
      </c>
    </row>
    <row r="33" spans="2:14">
      <c r="E33" s="134" t="s">
        <v>272</v>
      </c>
      <c r="F33" s="2" t="s">
        <v>172</v>
      </c>
      <c r="G33" s="2" t="s">
        <v>272</v>
      </c>
      <c r="H33" s="2" t="s">
        <v>272</v>
      </c>
      <c r="I33" s="2" t="s">
        <v>172</v>
      </c>
      <c r="J33" s="2" t="s">
        <v>272</v>
      </c>
      <c r="K33" s="2" t="s">
        <v>273</v>
      </c>
      <c r="L33" s="134" t="s">
        <v>272</v>
      </c>
      <c r="M33" s="134" t="s">
        <v>274</v>
      </c>
      <c r="N33" s="134" t="s">
        <v>274</v>
      </c>
    </row>
    <row r="34" spans="2:14">
      <c r="H34" s="2" t="s">
        <v>272</v>
      </c>
      <c r="I34" s="2" t="s">
        <v>273</v>
      </c>
      <c r="J34" s="2" t="s">
        <v>172</v>
      </c>
      <c r="K34" s="2" t="s">
        <v>273</v>
      </c>
      <c r="L34" s="134" t="s">
        <v>272</v>
      </c>
      <c r="M34" s="2" t="s">
        <v>272</v>
      </c>
    </row>
    <row r="36" spans="2:14"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</row>
    <row r="37" spans="2:14">
      <c r="C37" s="2">
        <v>2</v>
      </c>
      <c r="H37" s="134" t="s">
        <v>272</v>
      </c>
      <c r="I37" s="133" t="s">
        <v>172</v>
      </c>
      <c r="J37" s="2" t="s">
        <v>272</v>
      </c>
      <c r="K37" s="2" t="s">
        <v>273</v>
      </c>
      <c r="L37" s="2" t="s">
        <v>272</v>
      </c>
      <c r="M37" s="134" t="s">
        <v>272</v>
      </c>
    </row>
    <row r="38" spans="2:14">
      <c r="H38" s="134" t="s">
        <v>272</v>
      </c>
      <c r="I38" s="134" t="s">
        <v>172</v>
      </c>
      <c r="J38" s="2" t="s">
        <v>272</v>
      </c>
      <c r="K38" s="2" t="s">
        <v>274</v>
      </c>
      <c r="L38" s="2" t="s">
        <v>274</v>
      </c>
      <c r="M38" s="134" t="s">
        <v>172</v>
      </c>
    </row>
    <row r="39" spans="2:14">
      <c r="I39" s="134" t="s">
        <v>274</v>
      </c>
      <c r="J39" s="2" t="s">
        <v>172</v>
      </c>
      <c r="K39" s="2" t="s">
        <v>273</v>
      </c>
      <c r="L39" s="2" t="s">
        <v>272</v>
      </c>
      <c r="M39" s="2" t="s">
        <v>272</v>
      </c>
    </row>
    <row r="41" spans="2:14">
      <c r="H41" s="2">
        <v>6</v>
      </c>
      <c r="I41" s="2">
        <v>7</v>
      </c>
      <c r="J41" s="2">
        <v>8</v>
      </c>
      <c r="K41" s="2">
        <v>9</v>
      </c>
      <c r="L41" s="2">
        <v>10</v>
      </c>
      <c r="M41" s="2">
        <v>11</v>
      </c>
    </row>
    <row r="42" spans="2:14">
      <c r="C42" s="2">
        <v>3</v>
      </c>
      <c r="H42" s="134" t="s">
        <v>272</v>
      </c>
      <c r="I42" s="133" t="s">
        <v>172</v>
      </c>
      <c r="J42" s="2" t="s">
        <v>272</v>
      </c>
      <c r="K42" s="2" t="s">
        <v>273</v>
      </c>
      <c r="L42" s="2" t="s">
        <v>272</v>
      </c>
      <c r="M42" s="134" t="s">
        <v>272</v>
      </c>
    </row>
    <row r="43" spans="2:14">
      <c r="H43" s="134" t="s">
        <v>272</v>
      </c>
      <c r="I43" s="134" t="s">
        <v>172</v>
      </c>
      <c r="J43" s="2" t="s">
        <v>272</v>
      </c>
      <c r="K43" s="2" t="s">
        <v>274</v>
      </c>
      <c r="L43" s="2" t="s">
        <v>274</v>
      </c>
      <c r="M43" s="134" t="s">
        <v>172</v>
      </c>
    </row>
    <row r="44" spans="2:14">
      <c r="I44" s="134" t="s">
        <v>172</v>
      </c>
      <c r="J44" s="2" t="s">
        <v>274</v>
      </c>
      <c r="K44" s="2" t="s">
        <v>274</v>
      </c>
      <c r="L44" s="2" t="s">
        <v>272</v>
      </c>
    </row>
    <row r="46" spans="2:14">
      <c r="H46" s="2">
        <v>4</v>
      </c>
      <c r="I46" s="2">
        <v>5</v>
      </c>
      <c r="J46" s="2">
        <v>6</v>
      </c>
      <c r="K46" s="2">
        <v>7</v>
      </c>
      <c r="L46" s="2">
        <v>8</v>
      </c>
    </row>
    <row r="47" spans="2:14">
      <c r="B47" s="2" t="s">
        <v>130</v>
      </c>
      <c r="C47" s="2">
        <v>4</v>
      </c>
      <c r="H47" s="134" t="s">
        <v>272</v>
      </c>
      <c r="I47" s="133" t="s">
        <v>172</v>
      </c>
      <c r="J47" s="2" t="s">
        <v>272</v>
      </c>
      <c r="K47" s="2" t="s">
        <v>273</v>
      </c>
      <c r="L47" s="134" t="s">
        <v>272</v>
      </c>
    </row>
    <row r="48" spans="2:14">
      <c r="H48" s="134" t="s">
        <v>272</v>
      </c>
      <c r="I48" s="2" t="s">
        <v>172</v>
      </c>
      <c r="J48" s="2" t="s">
        <v>275</v>
      </c>
      <c r="K48" s="2" t="s">
        <v>272</v>
      </c>
      <c r="L48" s="2" t="s">
        <v>272</v>
      </c>
    </row>
    <row r="49" spans="3:14">
      <c r="I49" s="2" t="s">
        <v>272</v>
      </c>
      <c r="J49" s="2" t="s">
        <v>274</v>
      </c>
      <c r="K49" s="2" t="s">
        <v>274</v>
      </c>
      <c r="L49" s="134" t="s">
        <v>172</v>
      </c>
    </row>
    <row r="51" spans="3:14">
      <c r="H51" s="2">
        <v>10</v>
      </c>
      <c r="I51" s="2">
        <v>11</v>
      </c>
      <c r="J51" s="2">
        <v>12</v>
      </c>
      <c r="K51" s="2">
        <v>13</v>
      </c>
      <c r="L51" s="2">
        <v>14</v>
      </c>
      <c r="M51" s="2">
        <v>15</v>
      </c>
      <c r="N51" s="2">
        <v>16</v>
      </c>
    </row>
    <row r="52" spans="3:14">
      <c r="C52" s="2">
        <v>5</v>
      </c>
      <c r="H52" s="134" t="s">
        <v>272</v>
      </c>
      <c r="I52" s="133" t="s">
        <v>172</v>
      </c>
      <c r="J52" s="2" t="s">
        <v>272</v>
      </c>
      <c r="K52" s="2" t="s">
        <v>273</v>
      </c>
      <c r="L52" s="2" t="s">
        <v>272</v>
      </c>
      <c r="M52" s="2" t="s">
        <v>272</v>
      </c>
      <c r="N52" s="134" t="s">
        <v>172</v>
      </c>
    </row>
    <row r="53" spans="3:14">
      <c r="H53" s="2" t="s">
        <v>272</v>
      </c>
      <c r="I53" s="134" t="s">
        <v>272</v>
      </c>
      <c r="J53" s="134" t="s">
        <v>172</v>
      </c>
      <c r="K53" s="134" t="s">
        <v>273</v>
      </c>
      <c r="L53" s="134" t="s">
        <v>272</v>
      </c>
      <c r="M53" s="134" t="s">
        <v>274</v>
      </c>
      <c r="N53" s="134" t="s">
        <v>274</v>
      </c>
    </row>
    <row r="54" spans="3:14">
      <c r="H54" s="134" t="s">
        <v>172</v>
      </c>
      <c r="I54" s="134" t="s">
        <v>272</v>
      </c>
      <c r="J54" s="134" t="s">
        <v>274</v>
      </c>
      <c r="K54" s="134" t="s">
        <v>172</v>
      </c>
      <c r="L54" s="2" t="s">
        <v>272</v>
      </c>
      <c r="M54" s="2" t="s">
        <v>272</v>
      </c>
    </row>
    <row r="56" spans="3:14">
      <c r="G56" s="2">
        <v>8</v>
      </c>
      <c r="H56" s="2">
        <v>9</v>
      </c>
      <c r="I56" s="2">
        <v>10</v>
      </c>
      <c r="J56" s="2">
        <v>11</v>
      </c>
      <c r="K56" s="2">
        <v>12</v>
      </c>
      <c r="L56" s="2">
        <v>13</v>
      </c>
      <c r="M56" s="2">
        <v>14</v>
      </c>
    </row>
    <row r="57" spans="3:14">
      <c r="C57" s="2">
        <v>6</v>
      </c>
      <c r="G57" s="134" t="s">
        <v>272</v>
      </c>
      <c r="H57" s="2" t="s">
        <v>272</v>
      </c>
      <c r="I57" s="133" t="s">
        <v>172</v>
      </c>
      <c r="J57" s="2" t="s">
        <v>272</v>
      </c>
      <c r="K57" s="2" t="s">
        <v>273</v>
      </c>
      <c r="L57" s="2" t="s">
        <v>272</v>
      </c>
      <c r="M57" s="134" t="s">
        <v>272</v>
      </c>
    </row>
    <row r="58" spans="3:14">
      <c r="G58" s="134" t="s">
        <v>172</v>
      </c>
      <c r="H58" s="2" t="s">
        <v>272</v>
      </c>
      <c r="I58" s="134" t="s">
        <v>272</v>
      </c>
      <c r="J58" s="2" t="s">
        <v>272</v>
      </c>
      <c r="K58" s="2" t="s">
        <v>274</v>
      </c>
      <c r="L58" s="2" t="s">
        <v>274</v>
      </c>
      <c r="M58" s="134" t="s">
        <v>172</v>
      </c>
    </row>
    <row r="59" spans="3:14">
      <c r="I59" s="134" t="s">
        <v>172</v>
      </c>
      <c r="J59" s="2" t="s">
        <v>172</v>
      </c>
      <c r="K59" s="2" t="s">
        <v>274</v>
      </c>
      <c r="L59" s="2" t="s">
        <v>274</v>
      </c>
      <c r="M59" s="2" t="s">
        <v>272</v>
      </c>
    </row>
    <row r="61" spans="3:14">
      <c r="I61" s="2">
        <v>3</v>
      </c>
      <c r="J61" s="2">
        <v>4</v>
      </c>
      <c r="K61" s="2">
        <v>5</v>
      </c>
      <c r="L61" s="2">
        <v>6</v>
      </c>
    </row>
    <row r="62" spans="3:14">
      <c r="C62" s="2">
        <v>7</v>
      </c>
      <c r="I62" s="135" t="s">
        <v>172</v>
      </c>
      <c r="J62" s="2" t="s">
        <v>272</v>
      </c>
      <c r="K62" s="2" t="s">
        <v>272</v>
      </c>
      <c r="L62" s="134" t="s">
        <v>172</v>
      </c>
    </row>
    <row r="63" spans="3:14">
      <c r="I63" s="134" t="s">
        <v>272</v>
      </c>
      <c r="J63" s="2" t="s">
        <v>272</v>
      </c>
      <c r="K63" s="2" t="s">
        <v>273</v>
      </c>
      <c r="L63" s="2" t="s">
        <v>274</v>
      </c>
    </row>
    <row r="64" spans="3:14">
      <c r="K64" s="2" t="s">
        <v>272</v>
      </c>
      <c r="L64" s="134" t="s">
        <v>274</v>
      </c>
    </row>
    <row r="66" spans="3:13">
      <c r="G66" s="2">
        <v>9</v>
      </c>
      <c r="H66" s="2">
        <v>10</v>
      </c>
      <c r="I66" s="2">
        <v>11</v>
      </c>
      <c r="J66" s="2">
        <v>12</v>
      </c>
      <c r="K66" s="2">
        <v>13</v>
      </c>
      <c r="L66" s="2">
        <v>14</v>
      </c>
      <c r="M66" s="2">
        <v>15</v>
      </c>
    </row>
    <row r="67" spans="3:13">
      <c r="C67" s="2">
        <v>8</v>
      </c>
      <c r="G67" s="134" t="s">
        <v>272</v>
      </c>
      <c r="H67" s="2" t="s">
        <v>272</v>
      </c>
      <c r="I67" s="133" t="s">
        <v>172</v>
      </c>
      <c r="J67" s="2" t="s">
        <v>272</v>
      </c>
      <c r="K67" s="2" t="s">
        <v>273</v>
      </c>
      <c r="L67" s="2" t="s">
        <v>272</v>
      </c>
      <c r="M67" s="134" t="s">
        <v>272</v>
      </c>
    </row>
    <row r="68" spans="3:13">
      <c r="G68" s="134" t="s">
        <v>172</v>
      </c>
      <c r="H68" s="134" t="s">
        <v>172</v>
      </c>
      <c r="I68" s="134" t="s">
        <v>273</v>
      </c>
      <c r="J68" s="134" t="s">
        <v>272</v>
      </c>
      <c r="K68" s="2" t="s">
        <v>273</v>
      </c>
      <c r="L68" s="134" t="s">
        <v>274</v>
      </c>
      <c r="M68" s="134" t="s">
        <v>172</v>
      </c>
    </row>
    <row r="69" spans="3:13">
      <c r="H69" s="134" t="s">
        <v>272</v>
      </c>
      <c r="I69" s="134" t="s">
        <v>172</v>
      </c>
      <c r="J69" s="134" t="s">
        <v>172</v>
      </c>
      <c r="K69" s="134" t="s">
        <v>272</v>
      </c>
      <c r="L69" s="134" t="s">
        <v>274</v>
      </c>
      <c r="M69" s="2" t="s">
        <v>272</v>
      </c>
    </row>
    <row r="71" spans="3:13">
      <c r="F71" s="2">
        <v>10</v>
      </c>
      <c r="G71" s="2">
        <v>11</v>
      </c>
      <c r="H71" s="2">
        <v>12</v>
      </c>
      <c r="I71" s="2">
        <v>13</v>
      </c>
      <c r="J71" s="2">
        <v>14</v>
      </c>
      <c r="K71" s="2">
        <v>15</v>
      </c>
      <c r="L71" s="2">
        <v>16</v>
      </c>
      <c r="M71" s="2">
        <v>17</v>
      </c>
    </row>
    <row r="72" spans="3:13">
      <c r="C72" s="2">
        <v>9</v>
      </c>
      <c r="F72" s="134" t="s">
        <v>272</v>
      </c>
      <c r="G72" s="2" t="s">
        <v>272</v>
      </c>
      <c r="H72" s="2" t="s">
        <v>272</v>
      </c>
      <c r="I72" s="133" t="s">
        <v>172</v>
      </c>
      <c r="J72" s="2" t="s">
        <v>272</v>
      </c>
      <c r="K72" s="2" t="s">
        <v>273</v>
      </c>
      <c r="L72" s="2" t="s">
        <v>272</v>
      </c>
      <c r="M72" s="134" t="s">
        <v>272</v>
      </c>
    </row>
    <row r="73" spans="3:13">
      <c r="F73" s="134" t="s">
        <v>172</v>
      </c>
      <c r="G73" s="134" t="s">
        <v>272</v>
      </c>
      <c r="H73" s="134" t="s">
        <v>272</v>
      </c>
      <c r="I73" s="134" t="s">
        <v>172</v>
      </c>
      <c r="J73" s="2" t="s">
        <v>272</v>
      </c>
      <c r="K73" s="2" t="s">
        <v>274</v>
      </c>
      <c r="L73" s="2" t="s">
        <v>274</v>
      </c>
      <c r="M73" s="134" t="s">
        <v>172</v>
      </c>
    </row>
    <row r="74" spans="3:13">
      <c r="G74" s="134" t="s">
        <v>172</v>
      </c>
      <c r="H74" s="134" t="s">
        <v>272</v>
      </c>
      <c r="I74" s="134" t="s">
        <v>272</v>
      </c>
      <c r="J74" s="2" t="s">
        <v>272</v>
      </c>
      <c r="K74" s="2" t="s">
        <v>272</v>
      </c>
      <c r="L74" s="2" t="s">
        <v>172</v>
      </c>
    </row>
    <row r="76" spans="3:13">
      <c r="F76" s="2">
        <v>10</v>
      </c>
      <c r="G76" s="2">
        <v>11</v>
      </c>
      <c r="H76" s="2">
        <v>12</v>
      </c>
      <c r="I76" s="2">
        <v>13</v>
      </c>
      <c r="J76" s="2">
        <v>14</v>
      </c>
      <c r="K76" s="2">
        <v>15</v>
      </c>
      <c r="L76" s="2">
        <v>16</v>
      </c>
      <c r="M76" s="2">
        <v>17</v>
      </c>
    </row>
    <row r="77" spans="3:13">
      <c r="C77" s="2">
        <v>10</v>
      </c>
      <c r="F77" s="134" t="s">
        <v>172</v>
      </c>
      <c r="G77" s="2" t="s">
        <v>272</v>
      </c>
      <c r="H77" s="2" t="s">
        <v>272</v>
      </c>
      <c r="I77" s="133" t="s">
        <v>172</v>
      </c>
      <c r="J77" s="2" t="s">
        <v>272</v>
      </c>
      <c r="K77" s="2" t="s">
        <v>172</v>
      </c>
      <c r="L77" s="2" t="s">
        <v>272</v>
      </c>
      <c r="M77" s="134" t="s">
        <v>272</v>
      </c>
    </row>
    <row r="78" spans="3:13">
      <c r="F78" s="2" t="s">
        <v>272</v>
      </c>
      <c r="G78" s="134" t="s">
        <v>272</v>
      </c>
      <c r="H78" s="134" t="s">
        <v>272</v>
      </c>
      <c r="I78" s="2" t="s">
        <v>172</v>
      </c>
      <c r="J78" s="134" t="s">
        <v>272</v>
      </c>
      <c r="K78" s="134" t="s">
        <v>274</v>
      </c>
      <c r="L78" s="2" t="s">
        <v>274</v>
      </c>
      <c r="M78" s="134" t="s">
        <v>172</v>
      </c>
    </row>
    <row r="79" spans="3:13">
      <c r="F79" s="134" t="s">
        <v>172</v>
      </c>
      <c r="G79" s="134" t="s">
        <v>272</v>
      </c>
      <c r="H79" s="134" t="s">
        <v>172</v>
      </c>
      <c r="I79" s="2" t="s">
        <v>272</v>
      </c>
      <c r="J79" s="134" t="s">
        <v>272</v>
      </c>
      <c r="K79" s="2" t="s">
        <v>272</v>
      </c>
    </row>
    <row r="82" spans="2:13">
      <c r="F82" s="2">
        <v>12</v>
      </c>
      <c r="G82" s="2">
        <v>13</v>
      </c>
      <c r="H82" s="2">
        <v>14</v>
      </c>
      <c r="I82" s="2">
        <v>15</v>
      </c>
      <c r="J82" s="2">
        <v>16</v>
      </c>
      <c r="K82" s="2">
        <v>17</v>
      </c>
      <c r="L82" s="2">
        <v>18</v>
      </c>
      <c r="M82" s="2">
        <v>19</v>
      </c>
    </row>
    <row r="83" spans="2:13">
      <c r="C83" s="2">
        <v>11</v>
      </c>
      <c r="F83" s="134" t="s">
        <v>172</v>
      </c>
      <c r="G83" s="2" t="s">
        <v>272</v>
      </c>
      <c r="H83" s="2" t="s">
        <v>272</v>
      </c>
      <c r="I83" s="133" t="s">
        <v>172</v>
      </c>
      <c r="J83" s="2" t="s">
        <v>272</v>
      </c>
      <c r="K83" s="2" t="s">
        <v>273</v>
      </c>
      <c r="L83" s="2" t="s">
        <v>272</v>
      </c>
      <c r="M83" s="134" t="s">
        <v>272</v>
      </c>
    </row>
    <row r="84" spans="2:13">
      <c r="F84" s="134" t="s">
        <v>272</v>
      </c>
      <c r="G84" s="134" t="s">
        <v>272</v>
      </c>
      <c r="H84" s="134" t="s">
        <v>272</v>
      </c>
      <c r="I84" s="134" t="s">
        <v>172</v>
      </c>
      <c r="J84" s="134" t="s">
        <v>172</v>
      </c>
      <c r="K84" s="134" t="s">
        <v>273</v>
      </c>
      <c r="L84" s="134" t="s">
        <v>274</v>
      </c>
      <c r="M84" s="134" t="s">
        <v>172</v>
      </c>
    </row>
    <row r="85" spans="2:13">
      <c r="G85" s="134" t="s">
        <v>172</v>
      </c>
      <c r="H85" s="134" t="s">
        <v>272</v>
      </c>
      <c r="I85" s="134" t="s">
        <v>272</v>
      </c>
      <c r="J85" s="134" t="s">
        <v>272</v>
      </c>
      <c r="K85" s="2" t="s">
        <v>272</v>
      </c>
      <c r="L85" s="134" t="s">
        <v>274</v>
      </c>
      <c r="M85" s="2" t="s">
        <v>272</v>
      </c>
    </row>
    <row r="86" spans="2:13">
      <c r="K86" s="2" t="s">
        <v>272</v>
      </c>
    </row>
    <row r="88" spans="2:13">
      <c r="G88" s="2">
        <v>9</v>
      </c>
      <c r="H88" s="2">
        <v>10</v>
      </c>
      <c r="I88" s="2">
        <v>11</v>
      </c>
      <c r="J88" s="2">
        <v>12</v>
      </c>
      <c r="K88" s="2">
        <v>13</v>
      </c>
      <c r="L88" s="2">
        <v>14</v>
      </c>
      <c r="M88" s="2">
        <v>15</v>
      </c>
    </row>
    <row r="89" spans="2:13">
      <c r="B89" s="2" t="s">
        <v>130</v>
      </c>
      <c r="C89" s="2">
        <v>12</v>
      </c>
      <c r="G89" s="134" t="s">
        <v>272</v>
      </c>
      <c r="H89" s="2" t="s">
        <v>272</v>
      </c>
      <c r="I89" s="133" t="s">
        <v>172</v>
      </c>
      <c r="J89" s="2" t="s">
        <v>272</v>
      </c>
      <c r="K89" s="2" t="s">
        <v>273</v>
      </c>
      <c r="L89" s="2" t="s">
        <v>272</v>
      </c>
      <c r="M89" s="134" t="s">
        <v>272</v>
      </c>
    </row>
    <row r="90" spans="2:13">
      <c r="G90" s="134" t="s">
        <v>172</v>
      </c>
      <c r="H90" s="2" t="s">
        <v>272</v>
      </c>
      <c r="I90" s="2" t="s">
        <v>272</v>
      </c>
      <c r="J90" s="2" t="s">
        <v>172</v>
      </c>
      <c r="K90" s="134" t="s">
        <v>275</v>
      </c>
      <c r="L90" s="134" t="s">
        <v>274</v>
      </c>
      <c r="M90" s="134" t="s">
        <v>172</v>
      </c>
    </row>
    <row r="91" spans="2:13">
      <c r="H91" s="2" t="s">
        <v>172</v>
      </c>
      <c r="I91" s="2" t="s">
        <v>272</v>
      </c>
      <c r="J91" s="2" t="s">
        <v>272</v>
      </c>
      <c r="K91" s="134" t="s">
        <v>272</v>
      </c>
      <c r="L91" s="134" t="s">
        <v>274</v>
      </c>
      <c r="M91" s="2" t="s">
        <v>272</v>
      </c>
    </row>
    <row r="93" spans="2:13">
      <c r="H93" s="2">
        <v>2</v>
      </c>
      <c r="I93" s="2">
        <v>3</v>
      </c>
      <c r="J93" s="2">
        <v>4</v>
      </c>
      <c r="K93" s="2">
        <v>5</v>
      </c>
      <c r="L93" s="2">
        <v>6</v>
      </c>
      <c r="M93" s="2">
        <v>7</v>
      </c>
    </row>
    <row r="94" spans="2:13">
      <c r="C94" s="2">
        <v>13</v>
      </c>
      <c r="H94" s="134" t="s">
        <v>272</v>
      </c>
      <c r="I94" s="133" t="s">
        <v>172</v>
      </c>
      <c r="J94" s="2" t="s">
        <v>272</v>
      </c>
      <c r="K94" s="2" t="s">
        <v>273</v>
      </c>
      <c r="L94" s="2" t="s">
        <v>272</v>
      </c>
      <c r="M94" s="134" t="s">
        <v>272</v>
      </c>
    </row>
    <row r="95" spans="2:13">
      <c r="H95" s="134" t="s">
        <v>272</v>
      </c>
      <c r="I95" s="2" t="s">
        <v>172</v>
      </c>
      <c r="J95" s="2" t="s">
        <v>272</v>
      </c>
      <c r="K95" s="2" t="s">
        <v>274</v>
      </c>
      <c r="L95" s="2" t="s">
        <v>274</v>
      </c>
      <c r="M95" s="134" t="s">
        <v>172</v>
      </c>
    </row>
    <row r="97" spans="3:13">
      <c r="G97" s="2">
        <v>9</v>
      </c>
      <c r="H97" s="2">
        <v>10</v>
      </c>
      <c r="I97" s="2">
        <v>11</v>
      </c>
      <c r="J97" s="2">
        <v>12</v>
      </c>
      <c r="K97" s="2">
        <v>13</v>
      </c>
      <c r="L97" s="2">
        <v>14</v>
      </c>
    </row>
    <row r="98" spans="3:13">
      <c r="C98" s="2">
        <v>14</v>
      </c>
      <c r="G98" s="134" t="s">
        <v>272</v>
      </c>
      <c r="H98" s="2" t="s">
        <v>272</v>
      </c>
      <c r="I98" s="133" t="s">
        <v>172</v>
      </c>
      <c r="J98" s="2" t="s">
        <v>272</v>
      </c>
      <c r="K98" s="2" t="s">
        <v>172</v>
      </c>
      <c r="L98" s="134" t="s">
        <v>274</v>
      </c>
    </row>
    <row r="99" spans="3:13">
      <c r="G99" s="134" t="s">
        <v>172</v>
      </c>
      <c r="H99" s="134" t="s">
        <v>272</v>
      </c>
      <c r="I99" s="134" t="s">
        <v>272</v>
      </c>
      <c r="J99" s="134" t="s">
        <v>272</v>
      </c>
      <c r="K99" s="2" t="s">
        <v>273</v>
      </c>
      <c r="L99" s="2" t="s">
        <v>274</v>
      </c>
    </row>
    <row r="100" spans="3:13">
      <c r="H100" s="134" t="s">
        <v>272</v>
      </c>
      <c r="I100" s="134" t="s">
        <v>172</v>
      </c>
      <c r="J100" s="134" t="s">
        <v>172</v>
      </c>
      <c r="K100" s="134" t="s">
        <v>272</v>
      </c>
      <c r="L100" s="2" t="s">
        <v>272</v>
      </c>
    </row>
    <row r="102" spans="3:13">
      <c r="H102" s="2">
        <v>4</v>
      </c>
      <c r="I102" s="2">
        <v>5</v>
      </c>
      <c r="J102" s="2">
        <v>6</v>
      </c>
      <c r="K102" s="2">
        <v>7</v>
      </c>
      <c r="L102" s="2">
        <v>8</v>
      </c>
      <c r="M102" s="2">
        <v>9</v>
      </c>
    </row>
    <row r="103" spans="3:13">
      <c r="C103" s="2">
        <v>15</v>
      </c>
      <c r="H103" s="134" t="s">
        <v>272</v>
      </c>
      <c r="I103" s="133" t="s">
        <v>172</v>
      </c>
      <c r="J103" s="2" t="s">
        <v>272</v>
      </c>
      <c r="K103" s="2" t="s">
        <v>273</v>
      </c>
      <c r="L103" s="2" t="s">
        <v>272</v>
      </c>
      <c r="M103" s="134" t="s">
        <v>272</v>
      </c>
    </row>
    <row r="104" spans="3:13">
      <c r="H104" s="134" t="s">
        <v>272</v>
      </c>
      <c r="I104" s="2" t="s">
        <v>172</v>
      </c>
      <c r="J104" s="134" t="s">
        <v>274</v>
      </c>
      <c r="K104" s="134" t="s">
        <v>274</v>
      </c>
      <c r="L104" s="2" t="s">
        <v>274</v>
      </c>
      <c r="M104" s="134" t="s">
        <v>172</v>
      </c>
    </row>
    <row r="105" spans="3:13">
      <c r="J105" s="2" t="s">
        <v>272</v>
      </c>
      <c r="K105" s="2" t="s">
        <v>272</v>
      </c>
    </row>
    <row r="107" spans="3:13">
      <c r="G107" s="2">
        <v>6</v>
      </c>
      <c r="H107" s="2">
        <v>7</v>
      </c>
      <c r="I107" s="2">
        <v>8</v>
      </c>
      <c r="J107" s="2">
        <v>9</v>
      </c>
      <c r="K107" s="2">
        <v>10</v>
      </c>
      <c r="L107" s="2">
        <v>11</v>
      </c>
      <c r="M107" s="2">
        <v>12</v>
      </c>
    </row>
    <row r="108" spans="3:13">
      <c r="C108" s="2">
        <v>16</v>
      </c>
      <c r="G108" s="134" t="s">
        <v>274</v>
      </c>
      <c r="H108" s="2" t="s">
        <v>272</v>
      </c>
      <c r="I108" s="133" t="s">
        <v>172</v>
      </c>
      <c r="J108" s="2" t="s">
        <v>272</v>
      </c>
      <c r="K108" s="2" t="s">
        <v>273</v>
      </c>
      <c r="L108" s="2" t="s">
        <v>272</v>
      </c>
      <c r="M108" s="134" t="s">
        <v>272</v>
      </c>
    </row>
    <row r="109" spans="3:13">
      <c r="G109" s="134" t="s">
        <v>272</v>
      </c>
      <c r="H109" s="2" t="s">
        <v>172</v>
      </c>
      <c r="I109" s="134" t="s">
        <v>272</v>
      </c>
      <c r="J109" s="2" t="s">
        <v>272</v>
      </c>
      <c r="K109" s="2" t="s">
        <v>274</v>
      </c>
      <c r="L109" s="2" t="s">
        <v>274</v>
      </c>
      <c r="M109" s="134" t="s">
        <v>172</v>
      </c>
    </row>
    <row r="110" spans="3:13">
      <c r="I110" s="134" t="s">
        <v>272</v>
      </c>
      <c r="J110" s="2" t="s">
        <v>272</v>
      </c>
      <c r="K110" s="2" t="s">
        <v>172</v>
      </c>
    </row>
    <row r="112" spans="3:13">
      <c r="G112" s="2">
        <v>6</v>
      </c>
      <c r="H112" s="2">
        <v>7</v>
      </c>
      <c r="I112" s="2">
        <v>8</v>
      </c>
      <c r="J112" s="2">
        <v>9</v>
      </c>
      <c r="K112" s="2">
        <v>10</v>
      </c>
      <c r="L112" s="2">
        <v>11</v>
      </c>
    </row>
    <row r="113" spans="3:51">
      <c r="C113" s="2">
        <v>17</v>
      </c>
      <c r="G113" s="134" t="s">
        <v>272</v>
      </c>
      <c r="H113" s="2" t="s">
        <v>272</v>
      </c>
      <c r="I113" s="133" t="s">
        <v>172</v>
      </c>
      <c r="J113" s="2" t="s">
        <v>272</v>
      </c>
      <c r="K113" s="2" t="s">
        <v>273</v>
      </c>
      <c r="L113" s="134" t="s">
        <v>272</v>
      </c>
    </row>
    <row r="114" spans="3:51">
      <c r="G114" s="2" t="s">
        <v>172</v>
      </c>
      <c r="H114" s="134" t="s">
        <v>172</v>
      </c>
      <c r="I114" s="2" t="s">
        <v>272</v>
      </c>
      <c r="J114" s="2" t="s">
        <v>273</v>
      </c>
      <c r="K114" s="134" t="s">
        <v>172</v>
      </c>
      <c r="L114" s="134" t="s">
        <v>272</v>
      </c>
    </row>
    <row r="115" spans="3:51">
      <c r="G115" s="134" t="s">
        <v>172</v>
      </c>
      <c r="H115" s="134" t="s">
        <v>272</v>
      </c>
      <c r="I115" s="2" t="s">
        <v>272</v>
      </c>
      <c r="J115" s="2" t="s">
        <v>274</v>
      </c>
      <c r="K115" s="134" t="s">
        <v>274</v>
      </c>
    </row>
    <row r="117" spans="3:51">
      <c r="H117" s="2">
        <v>4</v>
      </c>
      <c r="I117" s="2">
        <v>5</v>
      </c>
      <c r="J117" s="2">
        <v>6</v>
      </c>
      <c r="K117" s="2">
        <v>7</v>
      </c>
      <c r="L117" s="2">
        <v>8</v>
      </c>
      <c r="M117" s="2">
        <v>9</v>
      </c>
    </row>
    <row r="118" spans="3:51">
      <c r="C118" s="2">
        <v>18</v>
      </c>
      <c r="H118" s="134" t="s">
        <v>272</v>
      </c>
      <c r="I118" s="133" t="s">
        <v>172</v>
      </c>
      <c r="J118" s="2" t="s">
        <v>272</v>
      </c>
      <c r="K118" s="2" t="s">
        <v>273</v>
      </c>
      <c r="L118" s="2" t="s">
        <v>272</v>
      </c>
      <c r="M118" s="134" t="s">
        <v>272</v>
      </c>
    </row>
    <row r="119" spans="3:51">
      <c r="H119" s="134" t="s">
        <v>272</v>
      </c>
      <c r="I119" s="2" t="s">
        <v>172</v>
      </c>
      <c r="J119" s="134" t="s">
        <v>274</v>
      </c>
      <c r="K119" s="134" t="s">
        <v>274</v>
      </c>
      <c r="L119" s="2" t="s">
        <v>274</v>
      </c>
      <c r="M119" s="134" t="s">
        <v>172</v>
      </c>
    </row>
    <row r="120" spans="3:51">
      <c r="J120" s="2" t="s">
        <v>272</v>
      </c>
      <c r="K120" s="2" t="s">
        <v>272</v>
      </c>
    </row>
    <row r="122" spans="3:51">
      <c r="G122" s="2">
        <v>7</v>
      </c>
      <c r="H122" s="2">
        <v>8</v>
      </c>
      <c r="I122" s="2">
        <v>9</v>
      </c>
      <c r="J122" s="2">
        <v>10</v>
      </c>
      <c r="K122" s="2">
        <v>11</v>
      </c>
      <c r="L122" s="2">
        <v>12</v>
      </c>
      <c r="M122" s="2">
        <v>13</v>
      </c>
    </row>
    <row r="123" spans="3:51">
      <c r="C123" s="2">
        <v>19</v>
      </c>
      <c r="G123" s="134" t="s">
        <v>172</v>
      </c>
      <c r="H123" s="2" t="s">
        <v>272</v>
      </c>
      <c r="I123" s="133" t="s">
        <v>172</v>
      </c>
      <c r="J123" s="2" t="s">
        <v>272</v>
      </c>
      <c r="K123" s="2" t="s">
        <v>273</v>
      </c>
      <c r="L123" s="2" t="s">
        <v>272</v>
      </c>
      <c r="M123" s="134" t="s">
        <v>272</v>
      </c>
    </row>
    <row r="124" spans="3:51">
      <c r="G124" s="134" t="s">
        <v>272</v>
      </c>
      <c r="H124" s="134" t="s">
        <v>272</v>
      </c>
      <c r="I124" s="2" t="s">
        <v>172</v>
      </c>
      <c r="J124" s="134" t="s">
        <v>272</v>
      </c>
      <c r="K124" s="134" t="s">
        <v>274</v>
      </c>
      <c r="L124" s="2" t="s">
        <v>274</v>
      </c>
      <c r="M124" s="134" t="s">
        <v>172</v>
      </c>
    </row>
    <row r="125" spans="3:51">
      <c r="H125" s="134" t="s">
        <v>172</v>
      </c>
      <c r="I125" s="2" t="s">
        <v>272</v>
      </c>
      <c r="J125" s="134" t="s">
        <v>272</v>
      </c>
      <c r="K125" s="2" t="s">
        <v>272</v>
      </c>
    </row>
    <row r="126" spans="3:51">
      <c r="I126" s="133"/>
    </row>
    <row r="127" spans="3:51">
      <c r="I127" s="133"/>
    </row>
    <row r="128" spans="3:51">
      <c r="D128" s="132"/>
      <c r="U128" s="133"/>
      <c r="AY128" s="133"/>
    </row>
    <row r="129" spans="4:51">
      <c r="D129" s="132"/>
      <c r="U129" s="133"/>
      <c r="AY129" s="133"/>
    </row>
    <row r="133" spans="4:51" ht="26.25" customHeight="1"/>
    <row r="134" spans="4:51" ht="26.25" customHeight="1"/>
    <row r="135" spans="4:51" ht="26.25" customHeight="1"/>
    <row r="136" spans="4:51" ht="26.25" customHeight="1"/>
    <row r="137" spans="4:51" ht="26.25" customHeight="1"/>
    <row r="138" spans="4:51" ht="26.25" customHeight="1"/>
    <row r="139" spans="4:51" ht="26.25" customHeight="1"/>
    <row r="140" spans="4:51" ht="26.25" customHeight="1"/>
    <row r="141" spans="4:51" ht="26.25" customHeight="1"/>
    <row r="142" spans="4:51" ht="26.25" customHeight="1"/>
    <row r="143" spans="4:51" ht="26.25" customHeight="1"/>
    <row r="144" spans="4:51" ht="26.25" customHeight="1"/>
    <row r="145" s="2" customFormat="1" ht="26.25" customHeight="1"/>
    <row r="146" s="2" customFormat="1" ht="26.25" customHeight="1"/>
  </sheetData>
  <phoneticPr fontId="2" type="noConversion"/>
  <hyperlinks>
    <hyperlink ref="A1" location="목차!A1" display="HOME" xr:uid="{21DF62E2-C867-4587-9A91-FBF6ED03DF5E}"/>
  </hyperlinks>
  <pageMargins left="0.7" right="0.7" top="0.75" bottom="0.75" header="0.3" footer="0.3"/>
  <drawing r:id="rId1"/>
  <legacy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247E5-9DDA-4E32-A54B-C40F005F119D}">
  <dimension ref="A1:B2"/>
  <sheetViews>
    <sheetView workbookViewId="0">
      <selection activeCell="V23" sqref="V23"/>
    </sheetView>
  </sheetViews>
  <sheetFormatPr defaultRowHeight="17.399999999999999"/>
  <cols>
    <col min="1" max="1" width="11.09765625" customWidth="1"/>
  </cols>
  <sheetData>
    <row r="1" spans="1:2" ht="18" thickBot="1">
      <c r="A1" s="19" t="s">
        <v>64</v>
      </c>
    </row>
    <row r="2" spans="1:2">
      <c r="B2" s="131"/>
    </row>
  </sheetData>
  <phoneticPr fontId="2" type="noConversion"/>
  <hyperlinks>
    <hyperlink ref="A1" location="목차!A1" display="HOME" xr:uid="{C80D1699-BC6E-4269-8239-F5DBB6D19963}"/>
  </hyperlink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EE5CC-95DF-417B-A01F-BBE04E079C3D}">
  <dimension ref="A1:B2"/>
  <sheetViews>
    <sheetView tabSelected="1" workbookViewId="0">
      <selection activeCell="U18" sqref="U18"/>
    </sheetView>
  </sheetViews>
  <sheetFormatPr defaultRowHeight="17.399999999999999"/>
  <cols>
    <col min="1" max="1" width="10.19921875" customWidth="1"/>
  </cols>
  <sheetData>
    <row r="1" spans="1:2" ht="18" thickBot="1">
      <c r="A1" s="19" t="s">
        <v>64</v>
      </c>
    </row>
    <row r="2" spans="1:2">
      <c r="B2" s="131"/>
    </row>
  </sheetData>
  <phoneticPr fontId="2" type="noConversion"/>
  <hyperlinks>
    <hyperlink ref="A1" location="목차!A1" display="HOME" xr:uid="{07580FD9-B7CD-4554-B6DA-7606BAE04986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55</vt:i4>
      </vt:variant>
    </vt:vector>
  </HeadingPairs>
  <TitlesOfParts>
    <vt:vector size="55" baseType="lpstr">
      <vt:lpstr>목차</vt:lpstr>
      <vt:lpstr>01비트연산1</vt:lpstr>
      <vt:lpstr>02진법변환</vt:lpstr>
      <vt:lpstr>03주사위던지기01</vt:lpstr>
      <vt:lpstr>04주사위던지기02</vt:lpstr>
      <vt:lpstr>05맛있는음식</vt:lpstr>
      <vt:lpstr>06벽장문의이동</vt:lpstr>
      <vt:lpstr>07숫자야구2</vt:lpstr>
      <vt:lpstr>08스도쿠</vt:lpstr>
      <vt:lpstr>09비숍</vt:lpstr>
      <vt:lpstr>10구간합1D</vt:lpstr>
      <vt:lpstr>11구간합2D</vt:lpstr>
      <vt:lpstr>12구간업데이트2D</vt:lpstr>
      <vt:lpstr>13용액</vt:lpstr>
      <vt:lpstr>14부분합</vt:lpstr>
      <vt:lpstr>15힙정렬2</vt:lpstr>
      <vt:lpstr>16계수정렬1</vt:lpstr>
      <vt:lpstr>17합병정렬</vt:lpstr>
      <vt:lpstr>18퀵정렬</vt:lpstr>
      <vt:lpstr>19수열복원</vt:lpstr>
      <vt:lpstr>20외양간</vt:lpstr>
      <vt:lpstr>21발전소짓기</vt:lpstr>
      <vt:lpstr>22냉장고</vt:lpstr>
      <vt:lpstr>23저울</vt:lpstr>
      <vt:lpstr>24마인크래프트</vt:lpstr>
      <vt:lpstr>25에너지교환</vt:lpstr>
      <vt:lpstr>26개미</vt:lpstr>
      <vt:lpstr>27점모으기</vt:lpstr>
      <vt:lpstr>28직사각형</vt:lpstr>
      <vt:lpstr>29도형회전1</vt:lpstr>
      <vt:lpstr>30EX안테나배정</vt:lpstr>
      <vt:lpstr>31EX물품배송</vt:lpstr>
      <vt:lpstr>32보물섬</vt:lpstr>
      <vt:lpstr>33경로찾기</vt:lpstr>
      <vt:lpstr>34로봇</vt:lpstr>
      <vt:lpstr>35그리드게임</vt:lpstr>
      <vt:lpstr>36지하철</vt:lpstr>
      <vt:lpstr>37최단경로2</vt:lpstr>
      <vt:lpstr>38꿀꿀이축제</vt:lpstr>
      <vt:lpstr>39모이기</vt:lpstr>
      <vt:lpstr>40종교</vt:lpstr>
      <vt:lpstr>41직사각형그룹</vt:lpstr>
      <vt:lpstr>42오리무전기</vt:lpstr>
      <vt:lpstr>43트리(중등)</vt:lpstr>
      <vt:lpstr>44비용</vt:lpstr>
      <vt:lpstr>45TS경유지운송</vt:lpstr>
      <vt:lpstr>46EXGerm</vt:lpstr>
      <vt:lpstr>47_EX우주선착륙</vt:lpstr>
      <vt:lpstr>48_EX노후화된도로</vt:lpstr>
      <vt:lpstr>60EXSquare</vt:lpstr>
      <vt:lpstr>61FastSort</vt:lpstr>
      <vt:lpstr>62EXTaxiAssignment</vt:lpstr>
      <vt:lpstr>63ProteinFold</vt:lpstr>
      <vt:lpstr>64EX화물기차</vt:lpstr>
      <vt:lpstr>65EX하르방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MyCom</dc:creator>
  <cp:lastModifiedBy>comkiwer LJH</cp:lastModifiedBy>
  <dcterms:created xsi:type="dcterms:W3CDTF">2015-06-05T18:19:34Z</dcterms:created>
  <dcterms:modified xsi:type="dcterms:W3CDTF">2025-11-28T07:35:32Z</dcterms:modified>
</cp:coreProperties>
</file>